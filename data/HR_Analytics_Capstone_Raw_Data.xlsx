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12B1FE4E-9304-4F92-9FBD-B0626924D480}" xr6:coauthVersionLast="47" xr6:coauthVersionMax="47" xr10:uidLastSave="{00000000-0000-0000-0000-000000000000}"/>
  <bookViews>
    <workbookView xWindow="-110" yWindow="-110" windowWidth="19420" windowHeight="10300" activeTab="1"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B29" i="6"/>
  <c r="H7" i="6"/>
  <c r="L7" i="6"/>
  <c r="G29"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<sst xmlns="http://schemas.openxmlformats.org/spreadsheetml/2006/main" count="1643" uniqueCount="300">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</sst>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26">
    <dxf>
      <numFmt numFmtId="30" formatCode="@"/>
    </dxf>
    <dxf>
      <numFmt numFmtId="166" formatCode="&quot;₦&quot;#,##0"/>
    </dxf>
    <dxf>
      <numFmt numFmtId="13" formatCode="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font>
        <b/>
        <i val="0"/>
        <sz val="11"/>
        <color auto="1"/>
      </font>
    </dxf>
    <dxf>
      <fill>
        <gradientFill degree="90">
          <stop position="0">
            <color theme="4"/>
          </stop>
          <stop position="1">
            <color rgb="FF4F81BD"/>
          </stop>
        </gradientFill>
      </fill>
    </dxf>
    <dxf>
      <font>
        <b/>
        <i val="0"/>
        <sz val="12"/>
        <color rgb="FF31859C"/>
      </font>
      <fill>
        <patternFill patternType="solid">
          <fgColor indexed="64"/>
          <bgColor rgb="FF0070C0"/>
        </patternFill>
      </fill>
    </dxf>
    <dxf>
      <font>
        <sz val="11"/>
        <color rgb="FF4F81BD"/>
      </font>
    </dxf>
  </dxfs>
  <tableStyles count="4" defaultTableStyle="TableStyleMedium9" defaultPivotStyle="PivotStyleLight16">
    <tableStyle name="Slicer Style 1" pivot="0" table="0" count="1" xr9:uid="{F1B4E4D4-7881-425E-8960-774055D62EEF}">
      <tableStyleElement type="wholeTable" dxfId="25"/>
    </tableStyle>
    <tableStyle name="Slicer Style 2" pivot="0" table="0" count="0" xr9:uid="{5556B23E-21AB-4165-85A7-BBBBFA797A00}"/>
    <tableStyle name="Slicer Style 3" pivot="0" table="0" count="1" xr9:uid="{E0ACD3C2-6CF8-4BAC-BD3A-F7DF1EBD72B3}">
      <tableStyleElement type="wholeTable" dxfId="24"/>
    </tableStyle>
    <tableStyle name="Slicer Style 4" pivot="0" table="0" count="2" xr9:uid="{16AC44C9-1B35-4F01-9F91-B5681BCDA9F7}">
      <tableStyleElement type="wholeTable" dxfId="23"/>
      <tableStyleElement type="headerRow" dxfId="22"/>
    </tableStyle>
  </tableStyles>
  <colors>
    <mruColors>
      <color rgb="FF4F81BD"/>
      <color rgb="FF31859C"/>
      <color rgb="FFDBEEF4"/>
      <color rgb="FF000000"/>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lotArea>
      <c:layout/>
      <c:barChart>
        <c:barDir val="col"/>
        <c:grouping val="clustered"/>
        <c:varyColors val="0"/>
        <c:ser>
          <c:idx val="0"/>
          <c:order val="0"/>
          <c:tx>
            <c:strRef>
              <c:f>Analysis!$L$6</c:f>
              <c:strCache>
                <c:ptCount val="1"/>
                <c:pt idx="0">
                  <c:v>Attrition rate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Analysis!$L$7:$L$8</c:f>
              <c:numCache>
                <c:formatCode>0%</c:formatCode>
                <c:ptCount val="2"/>
                <c:pt idx="0">
                  <c:v>0.22</c:v>
                </c:pt>
                <c:pt idx="1">
                  <c:v>0.22</c:v>
                </c:pt>
              </c:numCache>
            </c:numRef>
          </c:val>
          <c:extLst>
            <c:ext xmlns:c16="http://schemas.microsoft.com/office/drawing/2014/chart" uri="{C3380CC4-5D6E-409C-BE32-E72D297353CC}">
              <c16:uniqueId val="{00000000-A664-4331-A51F-8FFA9BAE7CA5}"/>
            </c:ext>
          </c:extLst>
        </c:ser>
        <c:dLbls>
          <c:dLblPos val="inEnd"/>
          <c:showLegendKey val="0"/>
          <c:showVal val="1"/>
          <c:showCatName val="0"/>
          <c:showSerName val="0"/>
          <c:showPercent val="0"/>
          <c:showBubbleSize val="0"/>
        </c:dLbls>
        <c:gapWidth val="65"/>
        <c:axId val="1728806495"/>
        <c:axId val="1728801215"/>
      </c:barChart>
      <c:catAx>
        <c:axId val="1728806495"/>
        <c:scaling>
          <c:orientation val="minMax"/>
        </c:scaling>
        <c:delete val="1"/>
        <c:axPos val="b"/>
        <c:numFmt formatCode="General" sourceLinked="1"/>
        <c:majorTickMark val="none"/>
        <c:minorTickMark val="none"/>
        <c:tickLblPos val="nextTo"/>
        <c:crossAx val="1728801215"/>
        <c:crosses val="autoZero"/>
        <c:auto val="1"/>
        <c:lblAlgn val="ctr"/>
        <c:lblOffset val="100"/>
        <c:noMultiLvlLbl val="0"/>
      </c:catAx>
      <c:valAx>
        <c:axId val="1728801215"/>
        <c:scaling>
          <c:orientation val="minMax"/>
        </c:scaling>
        <c:delete val="1"/>
        <c:axPos val="l"/>
        <c:numFmt formatCode="0%" sourceLinked="1"/>
        <c:majorTickMark val="none"/>
        <c:minorTickMark val="none"/>
        <c:tickLblPos val="nextTo"/>
        <c:crossAx val="1728806495"/>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Working_Data!A1"/><Relationship Id="rId7" Type="http://schemas.openxmlformats.org/officeDocument/2006/relationships/chart" Target="../charts/chart11.xml"/><Relationship Id="rId2" Type="http://schemas.openxmlformats.org/officeDocument/2006/relationships/hyperlink" Target="#Lookup_Departments!A1"/><Relationship Id="rId1" Type="http://schemas.openxmlformats.org/officeDocument/2006/relationships/hyperlink" Target="#HR_Dashboard!A1"/><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116416</xdr:colOff>
      <xdr:row>3</xdr:row>
      <xdr:rowOff>10582</xdr:rowOff>
    </xdr:from>
    <xdr:to>
      <xdr:col>39</xdr:col>
      <xdr:colOff>560917</xdr:colOff>
      <xdr:row>23</xdr:row>
      <xdr:rowOff>137582</xdr:rowOff>
    </xdr:to>
    <xdr:graphicFrame macro="">
      <xdr:nvGraphicFramePr>
        <xdr:cNvPr id="4" name="Chart 3">
          <a:extLst>
            <a:ext uri="{FF2B5EF4-FFF2-40B4-BE49-F238E27FC236}">
              <a16:creationId xmlns:a16="http://schemas.microsoft.com/office/drawing/2014/main" id="{13479C65-3C18-4034-B6B1-169D74733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12</xdr:row>
      <xdr:rowOff>82538</xdr:rowOff>
    </xdr:from>
    <xdr:to>
      <xdr:col>3</xdr:col>
      <xdr:colOff>198441</xdr:colOff>
      <xdr:row>15</xdr:row>
      <xdr:rowOff>66664</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FA0A922B-C5A9-4DEA-AE7D-369A4C1242F2}"/>
            </a:ext>
          </a:extLst>
        </xdr:cNvPr>
        <xdr:cNvSpPr/>
      </xdr:nvSpPr>
      <xdr:spPr>
        <a:xfrm>
          <a:off x="317505" y="2368538"/>
          <a:ext cx="1709736" cy="555626"/>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19</xdr:row>
      <xdr:rowOff>12700</xdr:rowOff>
    </xdr:from>
    <xdr:to>
      <xdr:col>3</xdr:col>
      <xdr:colOff>190499</xdr:colOff>
      <xdr:row>21</xdr:row>
      <xdr:rowOff>187325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373ABAFA-A904-4274-980E-088124BB58A3}"/>
            </a:ext>
          </a:extLst>
        </xdr:cNvPr>
        <xdr:cNvSpPr/>
      </xdr:nvSpPr>
      <xdr:spPr>
        <a:xfrm>
          <a:off x="309563" y="3632200"/>
          <a:ext cx="1709736" cy="555625"/>
        </a:xfrm>
        <a:prstGeom prst="roundRect">
          <a:avLst/>
        </a:prstGeom>
        <a:solidFill>
          <a:srgbClr val="31859C">
            <a:alpha val="8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rgbClr val="000000"/>
              </a:solidFill>
              <a:latin typeface="Calibri"/>
              <a:ea typeface="Calibri"/>
              <a:cs typeface="Calibri"/>
            </a:rPr>
            <a:t>              </a:t>
          </a:r>
          <a:fld id="{97DCB790-AC7E-4E45-AD19-199BF919F77C}" type="TxLink">
            <a:rPr lang="en-US" sz="1200" b="1" i="0" u="none" strike="noStrike">
              <a:solidFill>
                <a:srgbClr val="000000"/>
              </a:solidFill>
              <a:latin typeface="Calibri"/>
              <a:ea typeface="Calibri"/>
              <a:cs typeface="Calibri"/>
            </a:rPr>
            <a:pPr algn="l"/>
            <a:t>150</a:t>
          </a:fld>
          <a:endParaRPr lang="en-NG" sz="1200" b="1"/>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pPr algn="l"/>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pPr algn="l"/>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pPr algn="l"/>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pPr algn="l"/>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xmlns:a14="http://schemas.microsoft.com/office/drawing/2010/main">
      <mc:Choice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mlns="">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xmlns:a14="http://schemas.microsoft.com/office/drawing/2010/main">
      <mc:Choice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mlns="">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xmlns:a14="http://schemas.microsoft.com/office/drawing/2010/main">
      <mc:Choice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14">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Year_of_Service" fld="7" subtotal="average" baseField="0" baseItem="0"/>
  </dataFields>
  <formats count="3">
    <format dxfId="17">
      <pivotArea type="all" dataOnly="0" outline="0" fieldPosition="0"/>
    </format>
    <format dxfId="16">
      <pivotArea outline="0" collapsedLevelsAreSubtotals="1" fieldPosition="0"/>
    </format>
    <format dxfId="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19">
      <pivotArea outline="0" collapsedLevelsAreSubtotals="1" fieldPosition="0">
        <references count="1">
          <reference field="4294967294" count="1" selected="0">
            <x v="1"/>
          </reference>
        </references>
      </pivotArea>
    </format>
    <format dxfId="18">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21">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5">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style="Slicer Style 4" rowHeight="241300"/>
  <slicer name="Cleaned Employment_Status 1" xr10:uid="{354F92D9-FABC-46C6-8856-75884730C768}" cache="Slicer_Cleaned_Employment_Status" caption="Cleaned Employment_Status" style="Slicer Style 4" rowHeight="241300"/>
  <slicer name="Performance_Band 1" xr10:uid="{CD084D95-A3F3-48C8-92C2-C5D09409DB6D}" cache="Slicer_Performance_Band" caption="Performance_Band" style="Slicer Style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13">
      <calculatedColumnFormula>TRIM(CLEAN(A2))</calculatedColumnFormula>
    </tableColumn>
    <tableColumn id="2" xr3:uid="{8CEE1055-2A2F-4DA0-BEB9-363B105F5B43}" name="Cleaned First_Name" dataDxfId="12">
      <calculatedColumnFormula>TRIM(CLEAN(PROPER(B2)))</calculatedColumnFormula>
    </tableColumn>
    <tableColumn id="3" xr3:uid="{1BACBA2A-31FA-4BFA-AC56-8B690BBBE17A}" name="Cleaned Last_Name" dataDxfId="11">
      <calculatedColumnFormula>TRIM(CLEAN(PROPER(C2)))</calculatedColumnFormula>
    </tableColumn>
    <tableColumn id="4" xr3:uid="{ACDDBD44-DED7-45A0-A91C-C301EA2FC8DF}" name="Full_Name" dataDxfId="10">
      <calculatedColumnFormula>_xlfn.TEXTJOIN(" ",TRUE,K2,L2)</calculatedColumnFormula>
    </tableColumn>
    <tableColumn id="5" xr3:uid="{3ACDA19A-4009-42B7-9CEC-E31BB63C9FF9}" name="Department_Name" dataDxfId="9">
      <calculatedColumnFormula>_xlfn.XLOOKUP(O2,Lookup_Departments!$A$2:$A$7,Lookup_Departments!$B$2:$B$7,"Not Found")</calculatedColumnFormula>
    </tableColumn>
    <tableColumn id="6" xr3:uid="{DE6D60F7-3EDE-4612-8BF2-B0B2DD1F6F08}" name="Cleaned Dept_Code" dataDxfId="8">
      <calculatedColumnFormula>IFERROR(VLOOKUP(D2,Lookup_Departments!$A$2:$B$7,1,FALSE),"Invalid")</calculatedColumnFormula>
    </tableColumn>
    <tableColumn id="7" xr3:uid="{EE50497A-713B-4CF0-BCF5-4B90997B9970}" name="Cleaned Hire_Date" dataDxfId="7">
      <calculatedColumnFormula>IF(ISNUMBER(E2),E2,DATE(RIGHT(E2,4),LEFT(E2,2),MID(E2,4,2)))</calculatedColumnFormula>
    </tableColumn>
    <tableColumn id="8" xr3:uid="{8900855C-479F-492C-8676-F47182C8617C}" name="Year_of_Service" dataDxfId="6">
      <calculatedColumnFormula>DATEDIF(P2,TODAY(),"Y")</calculatedColumnFormula>
    </tableColumn>
    <tableColumn id="9" xr3:uid="{43DEC46E-02F9-4373-ACF7-EB3138F23FB3}" name="Cleaned Salary" dataDxfId="5">
      <calculatedColumnFormula>IF(F2="",AVERAGEIF($D$2:$D$151,D2,$F$2:$F$151),F2)</calculatedColumnFormula>
    </tableColumn>
    <tableColumn id="10" xr3:uid="{ACE85FFC-D2E7-4B83-AEB3-D19D39AD1F76}" name="Cleaned Perf_Score" dataDxfId="4">
      <calculatedColumnFormula>IF(G2="",AVERAGE($G$2:$G$158),G2)</calculatedColumnFormula>
    </tableColumn>
    <tableColumn id="11" xr3:uid="{590E8FC3-346A-46F9-9227-B1111641C818}" name="Performance_Band" dataDxfId="3">
      <calculatedColumnFormula>_xlfn.XLOOKUP(S2,Lookup_Performance!$A$2:$A$6,Lookup_Performance!$C$2:$C$6,"Not Found",-1)</calculatedColumnFormula>
    </tableColumn>
    <tableColumn id="12" xr3:uid="{17C22A28-ACB1-4EA1-8590-550C4CFACB72}" name="Eligible_Bonus_Percentage" dataDxfId="2">
      <calculatedColumnFormula>_xlfn.XLOOKUP(S2,Lookup_Performance!$A$2:$A$6,Lookup_Performance!$D$2:$D$6,"Not Found",-1)</calculatedColumnFormula>
    </tableColumn>
    <tableColumn id="14" xr3:uid="{599D424E-13BE-453F-ACDA-9E66433A137E}" name="Eligible_Bonus_Amount" dataDxfId="1">
      <calculatedColumnFormula>Table1[[#This Row],[Cleaned Salary]]*Table1[[#This Row],[Eligible_Bonus_Percentage]]</calculatedColumnFormula>
    </tableColumn>
    <tableColumn id="13" xr3:uid="{15000AA3-E4C9-4C52-A2F3-4B9F18A74F89}" name="Cleaned Employment_Status" dataDxfId="0">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topLeftCell="B1" zoomScale="60" zoomScaleNormal="60" workbookViewId="0">
      <selection activeCell="L7" sqref="L7"/>
    </sheetView>
  </sheetViews>
  <sheetFormatPr defaultRowHeight="14.5" x14ac:dyDescent="0.35"/>
  <cols>
    <col min="1" max="2" width="27.26953125" bestFit="1" customWidth="1"/>
    <col min="3" max="3" width="13.08984375" style="10" bestFit="1" customWidth="1"/>
    <col min="6" max="6" width="21.1796875" bestFit="1" customWidth="1"/>
    <col min="7" max="7" width="33.0898437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abSelected="1" topLeftCell="J1" zoomScale="60" zoomScaleNormal="60" workbookViewId="0">
      <selection activeCell="AK31" sqref="AK31"/>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zoomScale="50" zoomScaleNormal="50" workbookViewId="0">
      <selection activeCell="Y11" sqref="Y1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10</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10</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2026-07-14T13:27:07Z</dcterms:modified>
</cp:coreProperties>
</file>