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IOTBTECH 2026\Excel Folder\Excel-Capstone-Project\data\"/>
    </mc:Choice>
  </mc:AlternateContent>
  <xr:revisionPtr revIDLastSave="0" documentId="13_ncr:1_{8E696B70-54DE-4417-8491-AC4FE504352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6" r:id="rId1"/>
    <sheet name="Working_Data" sheetId="4" r:id="rId2"/>
    <sheet name="Raw_Employee_Data" sheetId="1" r:id="rId3"/>
    <sheet name="Lookup_Departments" sheetId="2" r:id="rId4"/>
    <sheet name="Lookup_Performance" sheetId="3" r:id="rId5"/>
  </sheets>
  <calcPr calcId="191029"/>
  <pivotCaches>
    <pivotCache cacheId="5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3" i="4" l="1"/>
  <c r="U4" i="4"/>
  <c r="U5" i="4"/>
  <c r="U6" i="4"/>
  <c r="U7" i="4"/>
  <c r="U8" i="4"/>
  <c r="U9" i="4"/>
  <c r="U10" i="4"/>
  <c r="U11" i="4"/>
  <c r="U12" i="4"/>
  <c r="U13" i="4"/>
  <c r="U14" i="4"/>
  <c r="U15" i="4"/>
  <c r="U16" i="4"/>
  <c r="U17" i="4"/>
  <c r="U18" i="4"/>
  <c r="U19" i="4"/>
  <c r="U20" i="4"/>
  <c r="U21" i="4"/>
  <c r="U22" i="4"/>
  <c r="U23" i="4"/>
  <c r="U24" i="4"/>
  <c r="U25" i="4"/>
  <c r="U26" i="4"/>
  <c r="U27" i="4"/>
  <c r="U28" i="4"/>
  <c r="U29" i="4"/>
  <c r="U30" i="4"/>
  <c r="U31" i="4"/>
  <c r="U32" i="4"/>
  <c r="U33" i="4"/>
  <c r="U34" i="4"/>
  <c r="U35" i="4"/>
  <c r="U36" i="4"/>
  <c r="U37" i="4"/>
  <c r="U38" i="4"/>
  <c r="U39" i="4"/>
  <c r="U40" i="4"/>
  <c r="U41" i="4"/>
  <c r="U42" i="4"/>
  <c r="U43" i="4"/>
  <c r="U44" i="4"/>
  <c r="U45" i="4"/>
  <c r="U46" i="4"/>
  <c r="U47" i="4"/>
  <c r="U48" i="4"/>
  <c r="U49" i="4"/>
  <c r="U50" i="4"/>
  <c r="U51" i="4"/>
  <c r="U52" i="4"/>
  <c r="U53" i="4"/>
  <c r="U54" i="4"/>
  <c r="U55" i="4"/>
  <c r="U56" i="4"/>
  <c r="U57" i="4"/>
  <c r="U58" i="4"/>
  <c r="U59" i="4"/>
  <c r="U60" i="4"/>
  <c r="U61" i="4"/>
  <c r="U62" i="4"/>
  <c r="U63" i="4"/>
  <c r="U64" i="4"/>
  <c r="U65" i="4"/>
  <c r="U66" i="4"/>
  <c r="U67" i="4"/>
  <c r="U68" i="4"/>
  <c r="U69" i="4"/>
  <c r="U70" i="4"/>
  <c r="U71" i="4"/>
  <c r="U72" i="4"/>
  <c r="U73" i="4"/>
  <c r="U74" i="4"/>
  <c r="U75" i="4"/>
  <c r="U76" i="4"/>
  <c r="U77" i="4"/>
  <c r="U78" i="4"/>
  <c r="U79" i="4"/>
  <c r="U80" i="4"/>
  <c r="U81" i="4"/>
  <c r="U82" i="4"/>
  <c r="U83" i="4"/>
  <c r="U84" i="4"/>
  <c r="U85" i="4"/>
  <c r="U86" i="4"/>
  <c r="U87" i="4"/>
  <c r="U88" i="4"/>
  <c r="U89" i="4"/>
  <c r="U90" i="4"/>
  <c r="U91" i="4"/>
  <c r="U92" i="4"/>
  <c r="U93" i="4"/>
  <c r="U94" i="4"/>
  <c r="U95" i="4"/>
  <c r="U96" i="4"/>
  <c r="U97" i="4"/>
  <c r="U98" i="4"/>
  <c r="U99" i="4"/>
  <c r="U100" i="4"/>
  <c r="U101" i="4"/>
  <c r="U102" i="4"/>
  <c r="U103" i="4"/>
  <c r="U104" i="4"/>
  <c r="U105" i="4"/>
  <c r="U106" i="4"/>
  <c r="U107" i="4"/>
  <c r="U108" i="4"/>
  <c r="U109" i="4"/>
  <c r="U110" i="4"/>
  <c r="U111" i="4"/>
  <c r="U112" i="4"/>
  <c r="U113" i="4"/>
  <c r="U114" i="4"/>
  <c r="U115" i="4"/>
  <c r="U116" i="4"/>
  <c r="U117" i="4"/>
  <c r="U118" i="4"/>
  <c r="U119" i="4"/>
  <c r="U120" i="4"/>
  <c r="U121" i="4"/>
  <c r="U122" i="4"/>
  <c r="U123" i="4"/>
  <c r="U124" i="4"/>
  <c r="U125" i="4"/>
  <c r="U126" i="4"/>
  <c r="U127" i="4"/>
  <c r="U128" i="4"/>
  <c r="U129" i="4"/>
  <c r="U130" i="4"/>
  <c r="U131" i="4"/>
  <c r="U132" i="4"/>
  <c r="U133" i="4"/>
  <c r="U134" i="4"/>
  <c r="U135" i="4"/>
  <c r="U136" i="4"/>
  <c r="U137" i="4"/>
  <c r="U138" i="4"/>
  <c r="U139" i="4"/>
  <c r="U140" i="4"/>
  <c r="U141" i="4"/>
  <c r="U142" i="4"/>
  <c r="U143" i="4"/>
  <c r="U144" i="4"/>
  <c r="U145" i="4"/>
  <c r="U146" i="4"/>
  <c r="U147" i="4"/>
  <c r="U148" i="4"/>
  <c r="U149" i="4"/>
  <c r="U150" i="4"/>
  <c r="U151" i="4"/>
  <c r="U2" i="4"/>
  <c r="P3" i="4"/>
  <c r="Q3" i="4" s="1"/>
  <c r="P4" i="4"/>
  <c r="Q4" i="4" s="1"/>
  <c r="P5" i="4"/>
  <c r="Q5" i="4" s="1"/>
  <c r="P6" i="4"/>
  <c r="Q6" i="4" s="1"/>
  <c r="P7" i="4"/>
  <c r="Q7" i="4" s="1"/>
  <c r="P8" i="4"/>
  <c r="Q8" i="4" s="1"/>
  <c r="P9" i="4"/>
  <c r="Q9" i="4" s="1"/>
  <c r="P10" i="4"/>
  <c r="Q10" i="4" s="1"/>
  <c r="P11" i="4"/>
  <c r="Q11" i="4" s="1"/>
  <c r="P12" i="4"/>
  <c r="Q12" i="4" s="1"/>
  <c r="P13" i="4"/>
  <c r="Q13" i="4" s="1"/>
  <c r="P14" i="4"/>
  <c r="Q14" i="4" s="1"/>
  <c r="P15" i="4"/>
  <c r="Q15" i="4" s="1"/>
  <c r="P16" i="4"/>
  <c r="Q16" i="4" s="1"/>
  <c r="P17" i="4"/>
  <c r="Q17" i="4" s="1"/>
  <c r="P18" i="4"/>
  <c r="Q18" i="4" s="1"/>
  <c r="P19" i="4"/>
  <c r="Q19" i="4" s="1"/>
  <c r="P20" i="4"/>
  <c r="Q20" i="4" s="1"/>
  <c r="P21" i="4"/>
  <c r="Q21" i="4" s="1"/>
  <c r="P22" i="4"/>
  <c r="Q22" i="4" s="1"/>
  <c r="P23" i="4"/>
  <c r="Q23" i="4" s="1"/>
  <c r="P24" i="4"/>
  <c r="Q24" i="4" s="1"/>
  <c r="P25" i="4"/>
  <c r="Q25" i="4" s="1"/>
  <c r="P26" i="4"/>
  <c r="Q26" i="4" s="1"/>
  <c r="P27" i="4"/>
  <c r="Q27" i="4" s="1"/>
  <c r="P28" i="4"/>
  <c r="Q28" i="4" s="1"/>
  <c r="P29" i="4"/>
  <c r="Q29" i="4" s="1"/>
  <c r="P30" i="4"/>
  <c r="Q30" i="4" s="1"/>
  <c r="P31" i="4"/>
  <c r="Q31" i="4" s="1"/>
  <c r="P32" i="4"/>
  <c r="Q32" i="4" s="1"/>
  <c r="P33" i="4"/>
  <c r="Q33" i="4" s="1"/>
  <c r="P34" i="4"/>
  <c r="Q34" i="4" s="1"/>
  <c r="P35" i="4"/>
  <c r="Q35" i="4" s="1"/>
  <c r="P36" i="4"/>
  <c r="Q36" i="4" s="1"/>
  <c r="P37" i="4"/>
  <c r="Q37" i="4" s="1"/>
  <c r="P38" i="4"/>
  <c r="Q38" i="4" s="1"/>
  <c r="P39" i="4"/>
  <c r="Q39" i="4" s="1"/>
  <c r="P40" i="4"/>
  <c r="Q40" i="4" s="1"/>
  <c r="P41" i="4"/>
  <c r="Q41" i="4" s="1"/>
  <c r="P42" i="4"/>
  <c r="Q42" i="4" s="1"/>
  <c r="P43" i="4"/>
  <c r="Q43" i="4" s="1"/>
  <c r="P44" i="4"/>
  <c r="Q44" i="4" s="1"/>
  <c r="P45" i="4"/>
  <c r="Q45" i="4" s="1"/>
  <c r="P46" i="4"/>
  <c r="Q46" i="4" s="1"/>
  <c r="P47" i="4"/>
  <c r="Q47" i="4" s="1"/>
  <c r="P48" i="4"/>
  <c r="Q48" i="4" s="1"/>
  <c r="P49" i="4"/>
  <c r="Q49" i="4" s="1"/>
  <c r="P50" i="4"/>
  <c r="Q50" i="4" s="1"/>
  <c r="P51" i="4"/>
  <c r="Q51" i="4" s="1"/>
  <c r="P52" i="4"/>
  <c r="Q52" i="4" s="1"/>
  <c r="P53" i="4"/>
  <c r="Q53" i="4" s="1"/>
  <c r="P54" i="4"/>
  <c r="Q54" i="4" s="1"/>
  <c r="P55" i="4"/>
  <c r="Q55" i="4" s="1"/>
  <c r="P56" i="4"/>
  <c r="Q56" i="4" s="1"/>
  <c r="P57" i="4"/>
  <c r="Q57" i="4" s="1"/>
  <c r="P58" i="4"/>
  <c r="Q58" i="4" s="1"/>
  <c r="P59" i="4"/>
  <c r="Q59" i="4" s="1"/>
  <c r="P60" i="4"/>
  <c r="Q60" i="4" s="1"/>
  <c r="P61" i="4"/>
  <c r="Q61" i="4" s="1"/>
  <c r="P62" i="4"/>
  <c r="Q62" i="4" s="1"/>
  <c r="P63" i="4"/>
  <c r="Q63" i="4" s="1"/>
  <c r="P64" i="4"/>
  <c r="Q64" i="4" s="1"/>
  <c r="P65" i="4"/>
  <c r="Q65" i="4" s="1"/>
  <c r="P66" i="4"/>
  <c r="Q66" i="4" s="1"/>
  <c r="P67" i="4"/>
  <c r="Q67" i="4" s="1"/>
  <c r="P68" i="4"/>
  <c r="Q68" i="4" s="1"/>
  <c r="P69" i="4"/>
  <c r="Q69" i="4" s="1"/>
  <c r="P70" i="4"/>
  <c r="Q70" i="4" s="1"/>
  <c r="P71" i="4"/>
  <c r="Q71" i="4" s="1"/>
  <c r="P72" i="4"/>
  <c r="Q72" i="4" s="1"/>
  <c r="P73" i="4"/>
  <c r="Q73" i="4" s="1"/>
  <c r="P74" i="4"/>
  <c r="Q74" i="4" s="1"/>
  <c r="P75" i="4"/>
  <c r="Q75" i="4" s="1"/>
  <c r="P76" i="4"/>
  <c r="Q76" i="4" s="1"/>
  <c r="P77" i="4"/>
  <c r="Q77" i="4" s="1"/>
  <c r="P78" i="4"/>
  <c r="Q78" i="4" s="1"/>
  <c r="P79" i="4"/>
  <c r="Q79" i="4" s="1"/>
  <c r="P80" i="4"/>
  <c r="Q80" i="4" s="1"/>
  <c r="P81" i="4"/>
  <c r="Q81" i="4" s="1"/>
  <c r="P82" i="4"/>
  <c r="Q82" i="4" s="1"/>
  <c r="P83" i="4"/>
  <c r="Q83" i="4" s="1"/>
  <c r="P84" i="4"/>
  <c r="Q84" i="4" s="1"/>
  <c r="P85" i="4"/>
  <c r="Q85" i="4" s="1"/>
  <c r="P86" i="4"/>
  <c r="Q86" i="4" s="1"/>
  <c r="P87" i="4"/>
  <c r="Q87" i="4" s="1"/>
  <c r="P88" i="4"/>
  <c r="Q88" i="4" s="1"/>
  <c r="P89" i="4"/>
  <c r="Q89" i="4" s="1"/>
  <c r="P90" i="4"/>
  <c r="Q90" i="4" s="1"/>
  <c r="P91" i="4"/>
  <c r="Q91" i="4" s="1"/>
  <c r="P92" i="4"/>
  <c r="Q92" i="4" s="1"/>
  <c r="P93" i="4"/>
  <c r="Q93" i="4" s="1"/>
  <c r="P94" i="4"/>
  <c r="Q94" i="4" s="1"/>
  <c r="P95" i="4"/>
  <c r="Q95" i="4" s="1"/>
  <c r="P96" i="4"/>
  <c r="Q96" i="4" s="1"/>
  <c r="P97" i="4"/>
  <c r="Q97" i="4" s="1"/>
  <c r="P98" i="4"/>
  <c r="Q98" i="4" s="1"/>
  <c r="P99" i="4"/>
  <c r="Q99" i="4" s="1"/>
  <c r="P100" i="4"/>
  <c r="Q100" i="4" s="1"/>
  <c r="P101" i="4"/>
  <c r="Q101" i="4" s="1"/>
  <c r="P102" i="4"/>
  <c r="Q102" i="4" s="1"/>
  <c r="P103" i="4"/>
  <c r="Q103" i="4" s="1"/>
  <c r="P104" i="4"/>
  <c r="Q104" i="4" s="1"/>
  <c r="P105" i="4"/>
  <c r="Q105" i="4" s="1"/>
  <c r="P106" i="4"/>
  <c r="Q106" i="4" s="1"/>
  <c r="P107" i="4"/>
  <c r="Q107" i="4" s="1"/>
  <c r="P108" i="4"/>
  <c r="Q108" i="4" s="1"/>
  <c r="P109" i="4"/>
  <c r="Q109" i="4" s="1"/>
  <c r="P110" i="4"/>
  <c r="Q110" i="4" s="1"/>
  <c r="P111" i="4"/>
  <c r="Q111" i="4" s="1"/>
  <c r="P112" i="4"/>
  <c r="Q112" i="4" s="1"/>
  <c r="P113" i="4"/>
  <c r="Q113" i="4" s="1"/>
  <c r="P114" i="4"/>
  <c r="Q114" i="4" s="1"/>
  <c r="P115" i="4"/>
  <c r="Q115" i="4" s="1"/>
  <c r="P116" i="4"/>
  <c r="Q116" i="4" s="1"/>
  <c r="P117" i="4"/>
  <c r="Q117" i="4" s="1"/>
  <c r="P118" i="4"/>
  <c r="Q118" i="4" s="1"/>
  <c r="P119" i="4"/>
  <c r="Q119" i="4" s="1"/>
  <c r="P120" i="4"/>
  <c r="Q120" i="4" s="1"/>
  <c r="P121" i="4"/>
  <c r="Q121" i="4" s="1"/>
  <c r="P122" i="4"/>
  <c r="Q122" i="4" s="1"/>
  <c r="P123" i="4"/>
  <c r="Q123" i="4" s="1"/>
  <c r="P124" i="4"/>
  <c r="Q124" i="4" s="1"/>
  <c r="P125" i="4"/>
  <c r="Q125" i="4" s="1"/>
  <c r="P126" i="4"/>
  <c r="Q126" i="4" s="1"/>
  <c r="P127" i="4"/>
  <c r="Q127" i="4" s="1"/>
  <c r="P128" i="4"/>
  <c r="Q128" i="4" s="1"/>
  <c r="P129" i="4"/>
  <c r="Q129" i="4" s="1"/>
  <c r="P130" i="4"/>
  <c r="Q130" i="4" s="1"/>
  <c r="P131" i="4"/>
  <c r="Q131" i="4" s="1"/>
  <c r="P132" i="4"/>
  <c r="Q132" i="4" s="1"/>
  <c r="P133" i="4"/>
  <c r="Q133" i="4" s="1"/>
  <c r="P134" i="4"/>
  <c r="Q134" i="4" s="1"/>
  <c r="P135" i="4"/>
  <c r="Q135" i="4" s="1"/>
  <c r="P136" i="4"/>
  <c r="Q136" i="4" s="1"/>
  <c r="P137" i="4"/>
  <c r="Q137" i="4" s="1"/>
  <c r="P138" i="4"/>
  <c r="Q138" i="4" s="1"/>
  <c r="P139" i="4"/>
  <c r="Q139" i="4" s="1"/>
  <c r="P140" i="4"/>
  <c r="Q140" i="4" s="1"/>
  <c r="P141" i="4"/>
  <c r="Q141" i="4" s="1"/>
  <c r="P142" i="4"/>
  <c r="Q142" i="4" s="1"/>
  <c r="P143" i="4"/>
  <c r="Q143" i="4" s="1"/>
  <c r="P144" i="4"/>
  <c r="Q144" i="4" s="1"/>
  <c r="P145" i="4"/>
  <c r="Q145" i="4" s="1"/>
  <c r="P146" i="4"/>
  <c r="Q146" i="4" s="1"/>
  <c r="P147" i="4"/>
  <c r="Q147" i="4" s="1"/>
  <c r="P148" i="4"/>
  <c r="Q148" i="4" s="1"/>
  <c r="P149" i="4"/>
  <c r="Q149" i="4" s="1"/>
  <c r="P150" i="4"/>
  <c r="Q150" i="4" s="1"/>
  <c r="P151" i="4"/>
  <c r="Q151" i="4" s="1"/>
  <c r="P2" i="4"/>
  <c r="Q2" i="4" s="1"/>
  <c r="O3" i="4"/>
  <c r="N3" i="4" s="1"/>
  <c r="O4" i="4"/>
  <c r="N4" i="4" s="1"/>
  <c r="O5" i="4"/>
  <c r="N5" i="4" s="1"/>
  <c r="O6" i="4"/>
  <c r="N6" i="4" s="1"/>
  <c r="O7" i="4"/>
  <c r="N7" i="4" s="1"/>
  <c r="O8" i="4"/>
  <c r="N8" i="4" s="1"/>
  <c r="O9" i="4"/>
  <c r="N9" i="4" s="1"/>
  <c r="O10" i="4"/>
  <c r="N10" i="4" s="1"/>
  <c r="O11" i="4"/>
  <c r="N11" i="4" s="1"/>
  <c r="O12" i="4"/>
  <c r="N12" i="4" s="1"/>
  <c r="O13" i="4"/>
  <c r="N13" i="4" s="1"/>
  <c r="O14" i="4"/>
  <c r="N14" i="4" s="1"/>
  <c r="O15" i="4"/>
  <c r="N15" i="4" s="1"/>
  <c r="O16" i="4"/>
  <c r="N16" i="4" s="1"/>
  <c r="O17" i="4"/>
  <c r="N17" i="4" s="1"/>
  <c r="O18" i="4"/>
  <c r="N18" i="4" s="1"/>
  <c r="O19" i="4"/>
  <c r="N19" i="4" s="1"/>
  <c r="O20" i="4"/>
  <c r="N20" i="4" s="1"/>
  <c r="O21" i="4"/>
  <c r="N21" i="4" s="1"/>
  <c r="O22" i="4"/>
  <c r="N22" i="4" s="1"/>
  <c r="O23" i="4"/>
  <c r="N23" i="4" s="1"/>
  <c r="O24" i="4"/>
  <c r="N24" i="4" s="1"/>
  <c r="O25" i="4"/>
  <c r="N25" i="4" s="1"/>
  <c r="O26" i="4"/>
  <c r="N26" i="4" s="1"/>
  <c r="O27" i="4"/>
  <c r="N27" i="4" s="1"/>
  <c r="O28" i="4"/>
  <c r="N28" i="4" s="1"/>
  <c r="O29" i="4"/>
  <c r="N29" i="4" s="1"/>
  <c r="O30" i="4"/>
  <c r="N30" i="4" s="1"/>
  <c r="O31" i="4"/>
  <c r="N31" i="4" s="1"/>
  <c r="O32" i="4"/>
  <c r="N32" i="4" s="1"/>
  <c r="O33" i="4"/>
  <c r="N33" i="4" s="1"/>
  <c r="O34" i="4"/>
  <c r="N34" i="4" s="1"/>
  <c r="O35" i="4"/>
  <c r="N35" i="4" s="1"/>
  <c r="O36" i="4"/>
  <c r="N36" i="4" s="1"/>
  <c r="O37" i="4"/>
  <c r="N37" i="4" s="1"/>
  <c r="O38" i="4"/>
  <c r="N38" i="4" s="1"/>
  <c r="O39" i="4"/>
  <c r="N39" i="4" s="1"/>
  <c r="O40" i="4"/>
  <c r="N40" i="4" s="1"/>
  <c r="O41" i="4"/>
  <c r="N41" i="4" s="1"/>
  <c r="O42" i="4"/>
  <c r="N42" i="4" s="1"/>
  <c r="O43" i="4"/>
  <c r="N43" i="4" s="1"/>
  <c r="O44" i="4"/>
  <c r="N44" i="4" s="1"/>
  <c r="O45" i="4"/>
  <c r="N45" i="4" s="1"/>
  <c r="O46" i="4"/>
  <c r="N46" i="4" s="1"/>
  <c r="O47" i="4"/>
  <c r="N47" i="4" s="1"/>
  <c r="O48" i="4"/>
  <c r="N48" i="4" s="1"/>
  <c r="O49" i="4"/>
  <c r="N49" i="4" s="1"/>
  <c r="O50" i="4"/>
  <c r="N50" i="4" s="1"/>
  <c r="O51" i="4"/>
  <c r="N51" i="4" s="1"/>
  <c r="O52" i="4"/>
  <c r="N52" i="4" s="1"/>
  <c r="O53" i="4"/>
  <c r="N53" i="4" s="1"/>
  <c r="O54" i="4"/>
  <c r="N54" i="4" s="1"/>
  <c r="O55" i="4"/>
  <c r="N55" i="4" s="1"/>
  <c r="O56" i="4"/>
  <c r="N56" i="4" s="1"/>
  <c r="O57" i="4"/>
  <c r="N57" i="4" s="1"/>
  <c r="O58" i="4"/>
  <c r="N58" i="4" s="1"/>
  <c r="O59" i="4"/>
  <c r="N59" i="4" s="1"/>
  <c r="O60" i="4"/>
  <c r="N60" i="4" s="1"/>
  <c r="O61" i="4"/>
  <c r="N61" i="4" s="1"/>
  <c r="O62" i="4"/>
  <c r="N62" i="4" s="1"/>
  <c r="O63" i="4"/>
  <c r="N63" i="4" s="1"/>
  <c r="O64" i="4"/>
  <c r="N64" i="4" s="1"/>
  <c r="O65" i="4"/>
  <c r="N65" i="4" s="1"/>
  <c r="O66" i="4"/>
  <c r="N66" i="4" s="1"/>
  <c r="O67" i="4"/>
  <c r="N67" i="4" s="1"/>
  <c r="O68" i="4"/>
  <c r="N68" i="4" s="1"/>
  <c r="O69" i="4"/>
  <c r="N69" i="4" s="1"/>
  <c r="O70" i="4"/>
  <c r="N70" i="4" s="1"/>
  <c r="O71" i="4"/>
  <c r="N71" i="4" s="1"/>
  <c r="O72" i="4"/>
  <c r="N72" i="4" s="1"/>
  <c r="O73" i="4"/>
  <c r="N73" i="4" s="1"/>
  <c r="O74" i="4"/>
  <c r="N74" i="4" s="1"/>
  <c r="O75" i="4"/>
  <c r="N75" i="4" s="1"/>
  <c r="O76" i="4"/>
  <c r="N76" i="4" s="1"/>
  <c r="O77" i="4"/>
  <c r="N77" i="4" s="1"/>
  <c r="O78" i="4"/>
  <c r="N78" i="4" s="1"/>
  <c r="O79" i="4"/>
  <c r="N79" i="4" s="1"/>
  <c r="O80" i="4"/>
  <c r="N80" i="4" s="1"/>
  <c r="O81" i="4"/>
  <c r="N81" i="4" s="1"/>
  <c r="O82" i="4"/>
  <c r="N82" i="4" s="1"/>
  <c r="O83" i="4"/>
  <c r="N83" i="4" s="1"/>
  <c r="O84" i="4"/>
  <c r="N84" i="4" s="1"/>
  <c r="O85" i="4"/>
  <c r="N85" i="4" s="1"/>
  <c r="O86" i="4"/>
  <c r="N86" i="4" s="1"/>
  <c r="O87" i="4"/>
  <c r="N87" i="4" s="1"/>
  <c r="O88" i="4"/>
  <c r="N88" i="4" s="1"/>
  <c r="O89" i="4"/>
  <c r="N89" i="4" s="1"/>
  <c r="O90" i="4"/>
  <c r="N90" i="4" s="1"/>
  <c r="O91" i="4"/>
  <c r="N91" i="4" s="1"/>
  <c r="O92" i="4"/>
  <c r="N92" i="4" s="1"/>
  <c r="O93" i="4"/>
  <c r="N93" i="4" s="1"/>
  <c r="O94" i="4"/>
  <c r="N94" i="4" s="1"/>
  <c r="O95" i="4"/>
  <c r="N95" i="4" s="1"/>
  <c r="O96" i="4"/>
  <c r="N96" i="4" s="1"/>
  <c r="O97" i="4"/>
  <c r="N97" i="4" s="1"/>
  <c r="O98" i="4"/>
  <c r="N98" i="4" s="1"/>
  <c r="O99" i="4"/>
  <c r="N99" i="4" s="1"/>
  <c r="O100" i="4"/>
  <c r="N100" i="4" s="1"/>
  <c r="O101" i="4"/>
  <c r="N101" i="4" s="1"/>
  <c r="O102" i="4"/>
  <c r="N102" i="4" s="1"/>
  <c r="O103" i="4"/>
  <c r="N103" i="4" s="1"/>
  <c r="O104" i="4"/>
  <c r="N104" i="4" s="1"/>
  <c r="O105" i="4"/>
  <c r="N105" i="4" s="1"/>
  <c r="O106" i="4"/>
  <c r="N106" i="4" s="1"/>
  <c r="O107" i="4"/>
  <c r="N107" i="4" s="1"/>
  <c r="O108" i="4"/>
  <c r="N108" i="4" s="1"/>
  <c r="O109" i="4"/>
  <c r="N109" i="4" s="1"/>
  <c r="O110" i="4"/>
  <c r="N110" i="4" s="1"/>
  <c r="O111" i="4"/>
  <c r="N111" i="4" s="1"/>
  <c r="O112" i="4"/>
  <c r="N112" i="4" s="1"/>
  <c r="O113" i="4"/>
  <c r="N113" i="4" s="1"/>
  <c r="O114" i="4"/>
  <c r="N114" i="4" s="1"/>
  <c r="O115" i="4"/>
  <c r="N115" i="4" s="1"/>
  <c r="O116" i="4"/>
  <c r="N116" i="4" s="1"/>
  <c r="O117" i="4"/>
  <c r="N117" i="4" s="1"/>
  <c r="O118" i="4"/>
  <c r="N118" i="4" s="1"/>
  <c r="O119" i="4"/>
  <c r="N119" i="4" s="1"/>
  <c r="O120" i="4"/>
  <c r="N120" i="4" s="1"/>
  <c r="O121" i="4"/>
  <c r="N121" i="4" s="1"/>
  <c r="O122" i="4"/>
  <c r="N122" i="4" s="1"/>
  <c r="O123" i="4"/>
  <c r="N123" i="4" s="1"/>
  <c r="O124" i="4"/>
  <c r="N124" i="4" s="1"/>
  <c r="O125" i="4"/>
  <c r="N125" i="4" s="1"/>
  <c r="O126" i="4"/>
  <c r="N126" i="4" s="1"/>
  <c r="O127" i="4"/>
  <c r="N127" i="4" s="1"/>
  <c r="O128" i="4"/>
  <c r="N128" i="4" s="1"/>
  <c r="O129" i="4"/>
  <c r="N129" i="4" s="1"/>
  <c r="O130" i="4"/>
  <c r="N130" i="4" s="1"/>
  <c r="O131" i="4"/>
  <c r="N131" i="4" s="1"/>
  <c r="O132" i="4"/>
  <c r="N132" i="4" s="1"/>
  <c r="O133" i="4"/>
  <c r="N133" i="4" s="1"/>
  <c r="O134" i="4"/>
  <c r="N134" i="4" s="1"/>
  <c r="O135" i="4"/>
  <c r="N135" i="4" s="1"/>
  <c r="O136" i="4"/>
  <c r="N136" i="4" s="1"/>
  <c r="O137" i="4"/>
  <c r="N137" i="4" s="1"/>
  <c r="O138" i="4"/>
  <c r="N138" i="4" s="1"/>
  <c r="O139" i="4"/>
  <c r="N139" i="4" s="1"/>
  <c r="O140" i="4"/>
  <c r="N140" i="4" s="1"/>
  <c r="O141" i="4"/>
  <c r="N141" i="4" s="1"/>
  <c r="O142" i="4"/>
  <c r="N142" i="4" s="1"/>
  <c r="O143" i="4"/>
  <c r="N143" i="4" s="1"/>
  <c r="O144" i="4"/>
  <c r="N144" i="4" s="1"/>
  <c r="O145" i="4"/>
  <c r="N145" i="4" s="1"/>
  <c r="O146" i="4"/>
  <c r="N146" i="4" s="1"/>
  <c r="O147" i="4"/>
  <c r="N147" i="4" s="1"/>
  <c r="O148" i="4"/>
  <c r="N148" i="4" s="1"/>
  <c r="O149" i="4"/>
  <c r="N149" i="4" s="1"/>
  <c r="O150" i="4"/>
  <c r="N150" i="4" s="1"/>
  <c r="O151" i="4"/>
  <c r="N151" i="4" s="1"/>
  <c r="O2" i="4"/>
  <c r="N2" i="4" s="1"/>
  <c r="V3" i="4"/>
  <c r="V4" i="4"/>
  <c r="V5" i="4"/>
  <c r="V6" i="4"/>
  <c r="V7" i="4"/>
  <c r="V8" i="4"/>
  <c r="V9" i="4"/>
  <c r="V10" i="4"/>
  <c r="V11" i="4"/>
  <c r="V12" i="4"/>
  <c r="V13" i="4"/>
  <c r="V14" i="4"/>
  <c r="V15" i="4"/>
  <c r="V16" i="4"/>
  <c r="V17" i="4"/>
  <c r="V18" i="4"/>
  <c r="V19" i="4"/>
  <c r="V20" i="4"/>
  <c r="V21" i="4"/>
  <c r="V22" i="4"/>
  <c r="V23" i="4"/>
  <c r="V24" i="4"/>
  <c r="V25" i="4"/>
  <c r="V26" i="4"/>
  <c r="V27" i="4"/>
  <c r="V28" i="4"/>
  <c r="V29" i="4"/>
  <c r="V30" i="4"/>
  <c r="V31" i="4"/>
  <c r="V32" i="4"/>
  <c r="V33" i="4"/>
  <c r="V34" i="4"/>
  <c r="V35" i="4"/>
  <c r="V36" i="4"/>
  <c r="V37" i="4"/>
  <c r="V38" i="4"/>
  <c r="V39" i="4"/>
  <c r="V40" i="4"/>
  <c r="V41" i="4"/>
  <c r="V42" i="4"/>
  <c r="V43" i="4"/>
  <c r="V44" i="4"/>
  <c r="V45" i="4"/>
  <c r="V46" i="4"/>
  <c r="V47" i="4"/>
  <c r="V48" i="4"/>
  <c r="V49" i="4"/>
  <c r="V50" i="4"/>
  <c r="V51" i="4"/>
  <c r="V52" i="4"/>
  <c r="V53" i="4"/>
  <c r="V54" i="4"/>
  <c r="V55" i="4"/>
  <c r="V56" i="4"/>
  <c r="V57" i="4"/>
  <c r="V58" i="4"/>
  <c r="V59" i="4"/>
  <c r="V60" i="4"/>
  <c r="V61" i="4"/>
  <c r="V62" i="4"/>
  <c r="V63" i="4"/>
  <c r="V64" i="4"/>
  <c r="V65" i="4"/>
  <c r="V66" i="4"/>
  <c r="V67" i="4"/>
  <c r="V68" i="4"/>
  <c r="V69" i="4"/>
  <c r="V70" i="4"/>
  <c r="V71" i="4"/>
  <c r="V72" i="4"/>
  <c r="V73" i="4"/>
  <c r="V74" i="4"/>
  <c r="V75" i="4"/>
  <c r="V76" i="4"/>
  <c r="V77" i="4"/>
  <c r="V78" i="4"/>
  <c r="V79" i="4"/>
  <c r="V80" i="4"/>
  <c r="V81" i="4"/>
  <c r="V82" i="4"/>
  <c r="V83" i="4"/>
  <c r="V84" i="4"/>
  <c r="V85" i="4"/>
  <c r="V86" i="4"/>
  <c r="V87" i="4"/>
  <c r="V88" i="4"/>
  <c r="V89" i="4"/>
  <c r="V90" i="4"/>
  <c r="V91" i="4"/>
  <c r="V92" i="4"/>
  <c r="V93" i="4"/>
  <c r="V94" i="4"/>
  <c r="V95" i="4"/>
  <c r="V96" i="4"/>
  <c r="V97" i="4"/>
  <c r="V98" i="4"/>
  <c r="V99" i="4"/>
  <c r="V100" i="4"/>
  <c r="V101" i="4"/>
  <c r="V102" i="4"/>
  <c r="V103" i="4"/>
  <c r="V104" i="4"/>
  <c r="V105" i="4"/>
  <c r="V106" i="4"/>
  <c r="V107" i="4"/>
  <c r="V108" i="4"/>
  <c r="V109" i="4"/>
  <c r="V110" i="4"/>
  <c r="V111" i="4"/>
  <c r="V112" i="4"/>
  <c r="V113" i="4"/>
  <c r="V114" i="4"/>
  <c r="V115" i="4"/>
  <c r="V116" i="4"/>
  <c r="V117" i="4"/>
  <c r="V118" i="4"/>
  <c r="V119" i="4"/>
  <c r="V120" i="4"/>
  <c r="V121" i="4"/>
  <c r="V122" i="4"/>
  <c r="V123" i="4"/>
  <c r="V124" i="4"/>
  <c r="V125" i="4"/>
  <c r="V126" i="4"/>
  <c r="V127" i="4"/>
  <c r="V128" i="4"/>
  <c r="V129" i="4"/>
  <c r="V130" i="4"/>
  <c r="V131" i="4"/>
  <c r="V132" i="4"/>
  <c r="V133" i="4"/>
  <c r="V134" i="4"/>
  <c r="V135" i="4"/>
  <c r="V136" i="4"/>
  <c r="V137" i="4"/>
  <c r="V138" i="4"/>
  <c r="V139" i="4"/>
  <c r="V140" i="4"/>
  <c r="V141" i="4"/>
  <c r="V142" i="4"/>
  <c r="V143" i="4"/>
  <c r="V144" i="4"/>
  <c r="V145" i="4"/>
  <c r="V146" i="4"/>
  <c r="V147" i="4"/>
  <c r="V148" i="4"/>
  <c r="V149" i="4"/>
  <c r="V150" i="4"/>
  <c r="V151" i="4"/>
  <c r="V2" i="4"/>
  <c r="S3" i="4"/>
  <c r="T3" i="4" s="1"/>
  <c r="S4" i="4"/>
  <c r="T4" i="4" s="1"/>
  <c r="S5" i="4"/>
  <c r="T5" i="4" s="1"/>
  <c r="S6" i="4"/>
  <c r="T6" i="4" s="1"/>
  <c r="S7" i="4"/>
  <c r="T7" i="4" s="1"/>
  <c r="S8" i="4"/>
  <c r="T8" i="4" s="1"/>
  <c r="S9" i="4"/>
  <c r="T9" i="4" s="1"/>
  <c r="S10" i="4"/>
  <c r="T10" i="4" s="1"/>
  <c r="S11" i="4"/>
  <c r="T11" i="4" s="1"/>
  <c r="S12" i="4"/>
  <c r="T12" i="4" s="1"/>
  <c r="S13" i="4"/>
  <c r="T13" i="4" s="1"/>
  <c r="S14" i="4"/>
  <c r="T14" i="4" s="1"/>
  <c r="S15" i="4"/>
  <c r="T15" i="4" s="1"/>
  <c r="S16" i="4"/>
  <c r="T16" i="4" s="1"/>
  <c r="S17" i="4"/>
  <c r="T17" i="4" s="1"/>
  <c r="S18" i="4"/>
  <c r="T18" i="4" s="1"/>
  <c r="S19" i="4"/>
  <c r="T19" i="4" s="1"/>
  <c r="S20" i="4"/>
  <c r="T20" i="4" s="1"/>
  <c r="S21" i="4"/>
  <c r="T21" i="4" s="1"/>
  <c r="S22" i="4"/>
  <c r="T22" i="4" s="1"/>
  <c r="S23" i="4"/>
  <c r="T23" i="4" s="1"/>
  <c r="S24" i="4"/>
  <c r="T24" i="4" s="1"/>
  <c r="S25" i="4"/>
  <c r="T25" i="4" s="1"/>
  <c r="S26" i="4"/>
  <c r="T26" i="4" s="1"/>
  <c r="S27" i="4"/>
  <c r="T27" i="4" s="1"/>
  <c r="S28" i="4"/>
  <c r="T28" i="4" s="1"/>
  <c r="S29" i="4"/>
  <c r="T29" i="4" s="1"/>
  <c r="S30" i="4"/>
  <c r="T30" i="4" s="1"/>
  <c r="S31" i="4"/>
  <c r="T31" i="4" s="1"/>
  <c r="S32" i="4"/>
  <c r="T32" i="4" s="1"/>
  <c r="S33" i="4"/>
  <c r="T33" i="4" s="1"/>
  <c r="S34" i="4"/>
  <c r="T34" i="4" s="1"/>
  <c r="S35" i="4"/>
  <c r="T35" i="4" s="1"/>
  <c r="S36" i="4"/>
  <c r="T36" i="4" s="1"/>
  <c r="S37" i="4"/>
  <c r="T37" i="4" s="1"/>
  <c r="S38" i="4"/>
  <c r="T38" i="4" s="1"/>
  <c r="S39" i="4"/>
  <c r="T39" i="4" s="1"/>
  <c r="S40" i="4"/>
  <c r="T40" i="4" s="1"/>
  <c r="S41" i="4"/>
  <c r="T41" i="4" s="1"/>
  <c r="S42" i="4"/>
  <c r="T42" i="4" s="1"/>
  <c r="S43" i="4"/>
  <c r="T43" i="4" s="1"/>
  <c r="S44" i="4"/>
  <c r="T44" i="4" s="1"/>
  <c r="S45" i="4"/>
  <c r="T45" i="4" s="1"/>
  <c r="S46" i="4"/>
  <c r="T46" i="4" s="1"/>
  <c r="S47" i="4"/>
  <c r="T47" i="4" s="1"/>
  <c r="S48" i="4"/>
  <c r="T48" i="4" s="1"/>
  <c r="S49" i="4"/>
  <c r="T49" i="4" s="1"/>
  <c r="S50" i="4"/>
  <c r="T50" i="4" s="1"/>
  <c r="S51" i="4"/>
  <c r="T51" i="4" s="1"/>
  <c r="S52" i="4"/>
  <c r="T52" i="4" s="1"/>
  <c r="S53" i="4"/>
  <c r="T53" i="4" s="1"/>
  <c r="S54" i="4"/>
  <c r="T54" i="4" s="1"/>
  <c r="S55" i="4"/>
  <c r="T55" i="4" s="1"/>
  <c r="S56" i="4"/>
  <c r="T56" i="4" s="1"/>
  <c r="S57" i="4"/>
  <c r="T57" i="4" s="1"/>
  <c r="S58" i="4"/>
  <c r="T58" i="4" s="1"/>
  <c r="S59" i="4"/>
  <c r="T59" i="4" s="1"/>
  <c r="S60" i="4"/>
  <c r="T60" i="4" s="1"/>
  <c r="S61" i="4"/>
  <c r="T61" i="4" s="1"/>
  <c r="S62" i="4"/>
  <c r="T62" i="4" s="1"/>
  <c r="S63" i="4"/>
  <c r="T63" i="4" s="1"/>
  <c r="S64" i="4"/>
  <c r="T64" i="4" s="1"/>
  <c r="S65" i="4"/>
  <c r="T65" i="4" s="1"/>
  <c r="S66" i="4"/>
  <c r="T66" i="4" s="1"/>
  <c r="S67" i="4"/>
  <c r="T67" i="4" s="1"/>
  <c r="S68" i="4"/>
  <c r="T68" i="4" s="1"/>
  <c r="S69" i="4"/>
  <c r="T69" i="4" s="1"/>
  <c r="S70" i="4"/>
  <c r="T70" i="4" s="1"/>
  <c r="S71" i="4"/>
  <c r="T71" i="4" s="1"/>
  <c r="S72" i="4"/>
  <c r="T72" i="4" s="1"/>
  <c r="S73" i="4"/>
  <c r="T73" i="4" s="1"/>
  <c r="S74" i="4"/>
  <c r="T74" i="4" s="1"/>
  <c r="S75" i="4"/>
  <c r="T75" i="4" s="1"/>
  <c r="S76" i="4"/>
  <c r="T76" i="4" s="1"/>
  <c r="S77" i="4"/>
  <c r="T77" i="4" s="1"/>
  <c r="S78" i="4"/>
  <c r="T78" i="4" s="1"/>
  <c r="S79" i="4"/>
  <c r="T79" i="4" s="1"/>
  <c r="S80" i="4"/>
  <c r="T80" i="4" s="1"/>
  <c r="S81" i="4"/>
  <c r="T81" i="4" s="1"/>
  <c r="S82" i="4"/>
  <c r="T82" i="4" s="1"/>
  <c r="S83" i="4"/>
  <c r="T83" i="4" s="1"/>
  <c r="S84" i="4"/>
  <c r="T84" i="4" s="1"/>
  <c r="S85" i="4"/>
  <c r="T85" i="4" s="1"/>
  <c r="S86" i="4"/>
  <c r="T86" i="4" s="1"/>
  <c r="S87" i="4"/>
  <c r="T87" i="4" s="1"/>
  <c r="S88" i="4"/>
  <c r="T88" i="4" s="1"/>
  <c r="S89" i="4"/>
  <c r="T89" i="4" s="1"/>
  <c r="S90" i="4"/>
  <c r="T90" i="4" s="1"/>
  <c r="S91" i="4"/>
  <c r="T91" i="4" s="1"/>
  <c r="S92" i="4"/>
  <c r="T92" i="4" s="1"/>
  <c r="S93" i="4"/>
  <c r="T93" i="4" s="1"/>
  <c r="S94" i="4"/>
  <c r="T94" i="4" s="1"/>
  <c r="S95" i="4"/>
  <c r="T95" i="4" s="1"/>
  <c r="S96" i="4"/>
  <c r="T96" i="4" s="1"/>
  <c r="S97" i="4"/>
  <c r="T97" i="4" s="1"/>
  <c r="S98" i="4"/>
  <c r="T98" i="4" s="1"/>
  <c r="S99" i="4"/>
  <c r="T99" i="4" s="1"/>
  <c r="S100" i="4"/>
  <c r="T100" i="4" s="1"/>
  <c r="S101" i="4"/>
  <c r="T101" i="4" s="1"/>
  <c r="S102" i="4"/>
  <c r="T102" i="4" s="1"/>
  <c r="S103" i="4"/>
  <c r="T103" i="4" s="1"/>
  <c r="S104" i="4"/>
  <c r="T104" i="4" s="1"/>
  <c r="S105" i="4"/>
  <c r="T105" i="4" s="1"/>
  <c r="S106" i="4"/>
  <c r="T106" i="4" s="1"/>
  <c r="S107" i="4"/>
  <c r="T107" i="4" s="1"/>
  <c r="S108" i="4"/>
  <c r="T108" i="4" s="1"/>
  <c r="S109" i="4"/>
  <c r="T109" i="4" s="1"/>
  <c r="S110" i="4"/>
  <c r="T110" i="4" s="1"/>
  <c r="S111" i="4"/>
  <c r="T111" i="4" s="1"/>
  <c r="S112" i="4"/>
  <c r="T112" i="4" s="1"/>
  <c r="S113" i="4"/>
  <c r="T113" i="4" s="1"/>
  <c r="S114" i="4"/>
  <c r="T114" i="4" s="1"/>
  <c r="S115" i="4"/>
  <c r="T115" i="4" s="1"/>
  <c r="S116" i="4"/>
  <c r="T116" i="4" s="1"/>
  <c r="S117" i="4"/>
  <c r="T117" i="4" s="1"/>
  <c r="S118" i="4"/>
  <c r="T118" i="4" s="1"/>
  <c r="S119" i="4"/>
  <c r="T119" i="4" s="1"/>
  <c r="S120" i="4"/>
  <c r="T120" i="4" s="1"/>
  <c r="S121" i="4"/>
  <c r="T121" i="4" s="1"/>
  <c r="S122" i="4"/>
  <c r="T122" i="4" s="1"/>
  <c r="S123" i="4"/>
  <c r="T123" i="4" s="1"/>
  <c r="S124" i="4"/>
  <c r="T124" i="4" s="1"/>
  <c r="S125" i="4"/>
  <c r="T125" i="4" s="1"/>
  <c r="S126" i="4"/>
  <c r="T126" i="4" s="1"/>
  <c r="S127" i="4"/>
  <c r="T127" i="4" s="1"/>
  <c r="S128" i="4"/>
  <c r="T128" i="4" s="1"/>
  <c r="S129" i="4"/>
  <c r="T129" i="4" s="1"/>
  <c r="S130" i="4"/>
  <c r="T130" i="4" s="1"/>
  <c r="S131" i="4"/>
  <c r="T131" i="4" s="1"/>
  <c r="S132" i="4"/>
  <c r="T132" i="4" s="1"/>
  <c r="S133" i="4"/>
  <c r="T133" i="4" s="1"/>
  <c r="S134" i="4"/>
  <c r="T134" i="4" s="1"/>
  <c r="S135" i="4"/>
  <c r="T135" i="4" s="1"/>
  <c r="S136" i="4"/>
  <c r="T136" i="4" s="1"/>
  <c r="S137" i="4"/>
  <c r="T137" i="4" s="1"/>
  <c r="S138" i="4"/>
  <c r="T138" i="4" s="1"/>
  <c r="S139" i="4"/>
  <c r="T139" i="4" s="1"/>
  <c r="S140" i="4"/>
  <c r="T140" i="4" s="1"/>
  <c r="S141" i="4"/>
  <c r="T141" i="4" s="1"/>
  <c r="S142" i="4"/>
  <c r="T142" i="4" s="1"/>
  <c r="S143" i="4"/>
  <c r="T143" i="4" s="1"/>
  <c r="S144" i="4"/>
  <c r="T144" i="4" s="1"/>
  <c r="S145" i="4"/>
  <c r="T145" i="4" s="1"/>
  <c r="S146" i="4"/>
  <c r="T146" i="4" s="1"/>
  <c r="S147" i="4"/>
  <c r="T147" i="4" s="1"/>
  <c r="S148" i="4"/>
  <c r="T148" i="4" s="1"/>
  <c r="S149" i="4"/>
  <c r="T149" i="4" s="1"/>
  <c r="S150" i="4"/>
  <c r="T150" i="4" s="1"/>
  <c r="S151" i="4"/>
  <c r="T151" i="4" s="1"/>
  <c r="S2" i="4"/>
  <c r="T2" i="4" s="1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2" i="4"/>
  <c r="K3" i="4"/>
  <c r="K4" i="4"/>
  <c r="K5" i="4"/>
  <c r="M5" i="4" s="1"/>
  <c r="K6" i="4"/>
  <c r="K7" i="4"/>
  <c r="K8" i="4"/>
  <c r="M8" i="4" s="1"/>
  <c r="K9" i="4"/>
  <c r="M9" i="4" s="1"/>
  <c r="K10" i="4"/>
  <c r="M10" i="4" s="1"/>
  <c r="K11" i="4"/>
  <c r="M11" i="4" s="1"/>
  <c r="K12" i="4"/>
  <c r="M12" i="4" s="1"/>
  <c r="K13" i="4"/>
  <c r="M13" i="4" s="1"/>
  <c r="K14" i="4"/>
  <c r="M14" i="4" s="1"/>
  <c r="K15" i="4"/>
  <c r="K16" i="4"/>
  <c r="K17" i="4"/>
  <c r="M17" i="4" s="1"/>
  <c r="K18" i="4"/>
  <c r="K19" i="4"/>
  <c r="K20" i="4"/>
  <c r="M20" i="4" s="1"/>
  <c r="K21" i="4"/>
  <c r="M21" i="4" s="1"/>
  <c r="K22" i="4"/>
  <c r="M22" i="4" s="1"/>
  <c r="K23" i="4"/>
  <c r="M23" i="4" s="1"/>
  <c r="K24" i="4"/>
  <c r="M24" i="4" s="1"/>
  <c r="K25" i="4"/>
  <c r="M25" i="4" s="1"/>
  <c r="K26" i="4"/>
  <c r="M26" i="4" s="1"/>
  <c r="K27" i="4"/>
  <c r="K28" i="4"/>
  <c r="K29" i="4"/>
  <c r="M29" i="4" s="1"/>
  <c r="K30" i="4"/>
  <c r="K31" i="4"/>
  <c r="K32" i="4"/>
  <c r="M32" i="4" s="1"/>
  <c r="K33" i="4"/>
  <c r="M33" i="4" s="1"/>
  <c r="K34" i="4"/>
  <c r="M34" i="4" s="1"/>
  <c r="K35" i="4"/>
  <c r="M35" i="4" s="1"/>
  <c r="K36" i="4"/>
  <c r="M36" i="4" s="1"/>
  <c r="K37" i="4"/>
  <c r="M37" i="4" s="1"/>
  <c r="K38" i="4"/>
  <c r="M38" i="4" s="1"/>
  <c r="K39" i="4"/>
  <c r="K40" i="4"/>
  <c r="K41" i="4"/>
  <c r="M41" i="4" s="1"/>
  <c r="K42" i="4"/>
  <c r="K43" i="4"/>
  <c r="K44" i="4"/>
  <c r="M44" i="4" s="1"/>
  <c r="K45" i="4"/>
  <c r="M45" i="4" s="1"/>
  <c r="K46" i="4"/>
  <c r="M46" i="4" s="1"/>
  <c r="K47" i="4"/>
  <c r="M47" i="4" s="1"/>
  <c r="K48" i="4"/>
  <c r="M48" i="4" s="1"/>
  <c r="K49" i="4"/>
  <c r="M49" i="4" s="1"/>
  <c r="K50" i="4"/>
  <c r="M50" i="4" s="1"/>
  <c r="K51" i="4"/>
  <c r="K52" i="4"/>
  <c r="K53" i="4"/>
  <c r="M53" i="4" s="1"/>
  <c r="K54" i="4"/>
  <c r="K55" i="4"/>
  <c r="K56" i="4"/>
  <c r="M56" i="4" s="1"/>
  <c r="K57" i="4"/>
  <c r="M57" i="4" s="1"/>
  <c r="K58" i="4"/>
  <c r="M58" i="4" s="1"/>
  <c r="K59" i="4"/>
  <c r="M59" i="4" s="1"/>
  <c r="K60" i="4"/>
  <c r="M60" i="4" s="1"/>
  <c r="K61" i="4"/>
  <c r="M61" i="4" s="1"/>
  <c r="K62" i="4"/>
  <c r="M62" i="4" s="1"/>
  <c r="K63" i="4"/>
  <c r="K64" i="4"/>
  <c r="K65" i="4"/>
  <c r="M65" i="4" s="1"/>
  <c r="K66" i="4"/>
  <c r="K67" i="4"/>
  <c r="K68" i="4"/>
  <c r="M68" i="4" s="1"/>
  <c r="K69" i="4"/>
  <c r="M69" i="4" s="1"/>
  <c r="K70" i="4"/>
  <c r="M70" i="4" s="1"/>
  <c r="K71" i="4"/>
  <c r="M71" i="4" s="1"/>
  <c r="K72" i="4"/>
  <c r="M72" i="4" s="1"/>
  <c r="K73" i="4"/>
  <c r="M73" i="4" s="1"/>
  <c r="K74" i="4"/>
  <c r="M74" i="4" s="1"/>
  <c r="K75" i="4"/>
  <c r="K76" i="4"/>
  <c r="K77" i="4"/>
  <c r="M77" i="4" s="1"/>
  <c r="K78" i="4"/>
  <c r="K79" i="4"/>
  <c r="K80" i="4"/>
  <c r="M80" i="4" s="1"/>
  <c r="K81" i="4"/>
  <c r="M81" i="4" s="1"/>
  <c r="K82" i="4"/>
  <c r="M82" i="4" s="1"/>
  <c r="K83" i="4"/>
  <c r="M83" i="4" s="1"/>
  <c r="K84" i="4"/>
  <c r="M84" i="4" s="1"/>
  <c r="K85" i="4"/>
  <c r="M85" i="4" s="1"/>
  <c r="K86" i="4"/>
  <c r="M86" i="4" s="1"/>
  <c r="K87" i="4"/>
  <c r="K88" i="4"/>
  <c r="K89" i="4"/>
  <c r="M89" i="4" s="1"/>
  <c r="K90" i="4"/>
  <c r="K91" i="4"/>
  <c r="K92" i="4"/>
  <c r="M92" i="4" s="1"/>
  <c r="K93" i="4"/>
  <c r="M93" i="4" s="1"/>
  <c r="K94" i="4"/>
  <c r="M94" i="4" s="1"/>
  <c r="K95" i="4"/>
  <c r="M95" i="4" s="1"/>
  <c r="K96" i="4"/>
  <c r="M96" i="4" s="1"/>
  <c r="K97" i="4"/>
  <c r="M97" i="4" s="1"/>
  <c r="K98" i="4"/>
  <c r="M98" i="4" s="1"/>
  <c r="K99" i="4"/>
  <c r="K100" i="4"/>
  <c r="K101" i="4"/>
  <c r="M101" i="4" s="1"/>
  <c r="K102" i="4"/>
  <c r="K103" i="4"/>
  <c r="K104" i="4"/>
  <c r="M104" i="4" s="1"/>
  <c r="K105" i="4"/>
  <c r="M105" i="4" s="1"/>
  <c r="K106" i="4"/>
  <c r="M106" i="4" s="1"/>
  <c r="K107" i="4"/>
  <c r="M107" i="4" s="1"/>
  <c r="K108" i="4"/>
  <c r="M108" i="4" s="1"/>
  <c r="K109" i="4"/>
  <c r="M109" i="4" s="1"/>
  <c r="K110" i="4"/>
  <c r="M110" i="4" s="1"/>
  <c r="K111" i="4"/>
  <c r="K112" i="4"/>
  <c r="K113" i="4"/>
  <c r="M113" i="4" s="1"/>
  <c r="K114" i="4"/>
  <c r="K115" i="4"/>
  <c r="K116" i="4"/>
  <c r="M116" i="4" s="1"/>
  <c r="K117" i="4"/>
  <c r="M117" i="4" s="1"/>
  <c r="K118" i="4"/>
  <c r="M118" i="4" s="1"/>
  <c r="K119" i="4"/>
  <c r="M119" i="4" s="1"/>
  <c r="K120" i="4"/>
  <c r="M120" i="4" s="1"/>
  <c r="K121" i="4"/>
  <c r="M121" i="4" s="1"/>
  <c r="K122" i="4"/>
  <c r="M122" i="4" s="1"/>
  <c r="K123" i="4"/>
  <c r="K124" i="4"/>
  <c r="K125" i="4"/>
  <c r="M125" i="4" s="1"/>
  <c r="K126" i="4"/>
  <c r="K127" i="4"/>
  <c r="K128" i="4"/>
  <c r="M128" i="4" s="1"/>
  <c r="K129" i="4"/>
  <c r="M129" i="4" s="1"/>
  <c r="K130" i="4"/>
  <c r="M130" i="4" s="1"/>
  <c r="K131" i="4"/>
  <c r="M131" i="4" s="1"/>
  <c r="K132" i="4"/>
  <c r="M132" i="4" s="1"/>
  <c r="K133" i="4"/>
  <c r="M133" i="4" s="1"/>
  <c r="K134" i="4"/>
  <c r="M134" i="4" s="1"/>
  <c r="K135" i="4"/>
  <c r="K136" i="4"/>
  <c r="K137" i="4"/>
  <c r="M137" i="4" s="1"/>
  <c r="K138" i="4"/>
  <c r="K139" i="4"/>
  <c r="K140" i="4"/>
  <c r="M140" i="4" s="1"/>
  <c r="K141" i="4"/>
  <c r="M141" i="4" s="1"/>
  <c r="K142" i="4"/>
  <c r="M142" i="4" s="1"/>
  <c r="K143" i="4"/>
  <c r="M143" i="4" s="1"/>
  <c r="K144" i="4"/>
  <c r="M144" i="4" s="1"/>
  <c r="K145" i="4"/>
  <c r="M145" i="4" s="1"/>
  <c r="K146" i="4"/>
  <c r="M146" i="4" s="1"/>
  <c r="K147" i="4"/>
  <c r="K148" i="4"/>
  <c r="K149" i="4"/>
  <c r="M149" i="4" s="1"/>
  <c r="K150" i="4"/>
  <c r="K151" i="4"/>
  <c r="K2" i="4"/>
  <c r="M2" i="4" s="1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2" i="4"/>
  <c r="R2" i="4"/>
  <c r="R3" i="4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R45" i="4"/>
  <c r="R46" i="4"/>
  <c r="R47" i="4"/>
  <c r="R48" i="4"/>
  <c r="R49" i="4"/>
  <c r="R50" i="4"/>
  <c r="R51" i="4"/>
  <c r="R52" i="4"/>
  <c r="R53" i="4"/>
  <c r="R54" i="4"/>
  <c r="R55" i="4"/>
  <c r="R56" i="4"/>
  <c r="R58" i="4"/>
  <c r="R59" i="4"/>
  <c r="R60" i="4"/>
  <c r="R61" i="4"/>
  <c r="R62" i="4"/>
  <c r="R63" i="4"/>
  <c r="R64" i="4"/>
  <c r="R65" i="4"/>
  <c r="R66" i="4"/>
  <c r="R67" i="4"/>
  <c r="R68" i="4"/>
  <c r="R69" i="4"/>
  <c r="R70" i="4"/>
  <c r="R71" i="4"/>
  <c r="R72" i="4"/>
  <c r="R73" i="4"/>
  <c r="R74" i="4"/>
  <c r="R75" i="4"/>
  <c r="R76" i="4"/>
  <c r="R77" i="4"/>
  <c r="R78" i="4"/>
  <c r="R79" i="4"/>
  <c r="R80" i="4"/>
  <c r="R81" i="4"/>
  <c r="R82" i="4"/>
  <c r="R83" i="4"/>
  <c r="R84" i="4"/>
  <c r="R85" i="4"/>
  <c r="R86" i="4"/>
  <c r="R87" i="4"/>
  <c r="R88" i="4"/>
  <c r="R89" i="4"/>
  <c r="R90" i="4"/>
  <c r="R91" i="4"/>
  <c r="R92" i="4"/>
  <c r="R93" i="4"/>
  <c r="R94" i="4"/>
  <c r="R95" i="4"/>
  <c r="R96" i="4"/>
  <c r="R97" i="4"/>
  <c r="R98" i="4"/>
  <c r="R99" i="4"/>
  <c r="R101" i="4"/>
  <c r="R102" i="4"/>
  <c r="R103" i="4"/>
  <c r="R104" i="4"/>
  <c r="R105" i="4"/>
  <c r="R106" i="4"/>
  <c r="R107" i="4"/>
  <c r="R108" i="4"/>
  <c r="R109" i="4"/>
  <c r="R110" i="4"/>
  <c r="R111" i="4"/>
  <c r="R112" i="4"/>
  <c r="R113" i="4"/>
  <c r="R114" i="4"/>
  <c r="R115" i="4"/>
  <c r="R116" i="4"/>
  <c r="R117" i="4"/>
  <c r="R118" i="4"/>
  <c r="R119" i="4"/>
  <c r="R120" i="4"/>
  <c r="R122" i="4"/>
  <c r="R123" i="4"/>
  <c r="R124" i="4"/>
  <c r="R125" i="4"/>
  <c r="R126" i="4"/>
  <c r="R127" i="4"/>
  <c r="R128" i="4"/>
  <c r="R129" i="4"/>
  <c r="R130" i="4"/>
  <c r="R131" i="4"/>
  <c r="R132" i="4"/>
  <c r="R133" i="4"/>
  <c r="R134" i="4"/>
  <c r="R135" i="4"/>
  <c r="R136" i="4"/>
  <c r="R137" i="4"/>
  <c r="R138" i="4"/>
  <c r="R139" i="4"/>
  <c r="R140" i="4"/>
  <c r="R141" i="4"/>
  <c r="R142" i="4"/>
  <c r="R143" i="4"/>
  <c r="R145" i="4"/>
  <c r="R146" i="4"/>
  <c r="R147" i="4"/>
  <c r="R148" i="4"/>
  <c r="R149" i="4"/>
  <c r="R150" i="4"/>
  <c r="R151" i="4"/>
  <c r="R144" i="4"/>
  <c r="R21" i="4"/>
  <c r="R57" i="4"/>
  <c r="R121" i="4"/>
  <c r="R100" i="4"/>
  <c r="L7" i="6"/>
  <c r="M150" i="4" l="1"/>
  <c r="M138" i="4"/>
  <c r="M126" i="4"/>
  <c r="M114" i="4"/>
  <c r="M102" i="4"/>
  <c r="M90" i="4"/>
  <c r="M78" i="4"/>
  <c r="M66" i="4"/>
  <c r="M54" i="4"/>
  <c r="M42" i="4"/>
  <c r="M30" i="4"/>
  <c r="M18" i="4"/>
  <c r="M6" i="4"/>
  <c r="M147" i="4"/>
  <c r="M135" i="4"/>
  <c r="M123" i="4"/>
  <c r="M111" i="4"/>
  <c r="M99" i="4"/>
  <c r="M87" i="4"/>
  <c r="M75" i="4"/>
  <c r="M63" i="4"/>
  <c r="M51" i="4"/>
  <c r="M39" i="4"/>
  <c r="M27" i="4"/>
  <c r="M15" i="4"/>
  <c r="M3" i="4"/>
  <c r="M151" i="4"/>
  <c r="M139" i="4"/>
  <c r="M127" i="4"/>
  <c r="M115" i="4"/>
  <c r="M103" i="4"/>
  <c r="M91" i="4"/>
  <c r="M79" i="4"/>
  <c r="M67" i="4"/>
  <c r="M55" i="4"/>
  <c r="M43" i="4"/>
  <c r="M31" i="4"/>
  <c r="M19" i="4"/>
  <c r="M7" i="4"/>
  <c r="M16" i="4"/>
  <c r="M148" i="4"/>
  <c r="M136" i="4"/>
  <c r="M124" i="4"/>
  <c r="M112" i="4"/>
  <c r="M100" i="4"/>
  <c r="M88" i="4"/>
  <c r="M76" i="4"/>
  <c r="M64" i="4"/>
  <c r="M52" i="4"/>
  <c r="M40" i="4"/>
  <c r="M28" i="4"/>
  <c r="M4" i="4"/>
</calcChain>
</file>

<file path=xl/sharedStrings.xml><?xml version="1.0" encoding="utf-8"?>
<sst xmlns="http://schemas.openxmlformats.org/spreadsheetml/2006/main" count="1615" uniqueCount="287">
  <si>
    <t>Emp ID</t>
  </si>
  <si>
    <t>First_Name</t>
  </si>
  <si>
    <t>Last_Name</t>
  </si>
  <si>
    <t>Dept Code</t>
  </si>
  <si>
    <t>Hire Date</t>
  </si>
  <si>
    <t>Salary</t>
  </si>
  <si>
    <t>Perf_Score</t>
  </si>
  <si>
    <t>Employment Status</t>
  </si>
  <si>
    <t>EMP127</t>
  </si>
  <si>
    <t>Emily</t>
  </si>
  <si>
    <t>Brown</t>
  </si>
  <si>
    <t>IT02</t>
  </si>
  <si>
    <t>active</t>
  </si>
  <si>
    <t>EMP046</t>
  </si>
  <si>
    <t>Richard</t>
  </si>
  <si>
    <t>Hernandez</t>
  </si>
  <si>
    <t>MKT04</t>
  </si>
  <si>
    <t xml:space="preserve"> ACTIVE </t>
  </si>
  <si>
    <t>EMP134</t>
  </si>
  <si>
    <t>Gonzalez</t>
  </si>
  <si>
    <t xml:space="preserve"> IT02 </t>
  </si>
  <si>
    <t>$114,425</t>
  </si>
  <si>
    <t xml:space="preserve"> LEFT </t>
  </si>
  <si>
    <t>EMP139</t>
  </si>
  <si>
    <t>John</t>
  </si>
  <si>
    <t>Martinez</t>
  </si>
  <si>
    <t>FIN03</t>
  </si>
  <si>
    <t>EMP112</t>
  </si>
  <si>
    <t>Thomas</t>
  </si>
  <si>
    <t>Smith</t>
  </si>
  <si>
    <t>Left</t>
  </si>
  <si>
    <t>EMP030</t>
  </si>
  <si>
    <t>Johnson</t>
  </si>
  <si>
    <t>OPS06</t>
  </si>
  <si>
    <t>EMP096</t>
  </si>
  <si>
    <t>Wilson</t>
  </si>
  <si>
    <t xml:space="preserve"> OPS06 </t>
  </si>
  <si>
    <t>EMP098</t>
  </si>
  <si>
    <t>Jessica</t>
  </si>
  <si>
    <t>EMP095</t>
  </si>
  <si>
    <t>Rodriguez</t>
  </si>
  <si>
    <t>EMP140</t>
  </si>
  <si>
    <t>Michael</t>
  </si>
  <si>
    <t>SAL05</t>
  </si>
  <si>
    <t>Active</t>
  </si>
  <si>
    <t>EMP020</t>
  </si>
  <si>
    <t>Miller</t>
  </si>
  <si>
    <t>sal05</t>
  </si>
  <si>
    <t>$118,635</t>
  </si>
  <si>
    <t>EMP057</t>
  </si>
  <si>
    <t>Actv</t>
  </si>
  <si>
    <t>EMP016</t>
  </si>
  <si>
    <t>Jane</t>
  </si>
  <si>
    <t>Williams</t>
  </si>
  <si>
    <t>mkt04</t>
  </si>
  <si>
    <t>EMP070</t>
  </si>
  <si>
    <t>EMP025</t>
  </si>
  <si>
    <t>Robert</t>
  </si>
  <si>
    <t>Jones</t>
  </si>
  <si>
    <t xml:space="preserve"> MKT04 </t>
  </si>
  <si>
    <t>EMP031</t>
  </si>
  <si>
    <t>EMP126</t>
  </si>
  <si>
    <t>Davis</t>
  </si>
  <si>
    <t>EMP109</t>
  </si>
  <si>
    <t>James</t>
  </si>
  <si>
    <t>EMP066</t>
  </si>
  <si>
    <t>Ashley</t>
  </si>
  <si>
    <t>Lopez</t>
  </si>
  <si>
    <t>EMP120</t>
  </si>
  <si>
    <t>Amanda</t>
  </si>
  <si>
    <t>EMP019</t>
  </si>
  <si>
    <t>EMP013</t>
  </si>
  <si>
    <t>EMP010</t>
  </si>
  <si>
    <t>EMP032</t>
  </si>
  <si>
    <t xml:space="preserve"> FIN03 </t>
  </si>
  <si>
    <t>EMP082</t>
  </si>
  <si>
    <t>EMP052</t>
  </si>
  <si>
    <t xml:space="preserve"> SAL05 </t>
  </si>
  <si>
    <t>EMP129</t>
  </si>
  <si>
    <t>09/24/2019</t>
  </si>
  <si>
    <t>$77,610</t>
  </si>
  <si>
    <t>EMP146</t>
  </si>
  <si>
    <t>it02</t>
  </si>
  <si>
    <t>$50,873</t>
  </si>
  <si>
    <t>EMP099</t>
  </si>
  <si>
    <t>fin03</t>
  </si>
  <si>
    <t>EMP015</t>
  </si>
  <si>
    <t>EMP076</t>
  </si>
  <si>
    <t>EMP137</t>
  </si>
  <si>
    <t>EMP056</t>
  </si>
  <si>
    <t>Sarah</t>
  </si>
  <si>
    <t>EMP125</t>
  </si>
  <si>
    <t>HR01</t>
  </si>
  <si>
    <t>EMP085</t>
  </si>
  <si>
    <t>EMP106</t>
  </si>
  <si>
    <t>EMP043</t>
  </si>
  <si>
    <t>EMP068</t>
  </si>
  <si>
    <t>Melissa</t>
  </si>
  <si>
    <t>06/29/2022</t>
  </si>
  <si>
    <t>EMP128</t>
  </si>
  <si>
    <t>left</t>
  </si>
  <si>
    <t>EMP027</t>
  </si>
  <si>
    <t>EMP136</t>
  </si>
  <si>
    <t>EMP079</t>
  </si>
  <si>
    <t>David</t>
  </si>
  <si>
    <t>EMP149</t>
  </si>
  <si>
    <t>$66,606</t>
  </si>
  <si>
    <t>Resigned</t>
  </si>
  <si>
    <t>EMP037</t>
  </si>
  <si>
    <t>EMP077</t>
  </si>
  <si>
    <t>07/14/2016</t>
  </si>
  <si>
    <t>EMP023</t>
  </si>
  <si>
    <t>EMP133</t>
  </si>
  <si>
    <t>EMP141</t>
  </si>
  <si>
    <t>EMP012</t>
  </si>
  <si>
    <t>EMP080</t>
  </si>
  <si>
    <t>$75,023</t>
  </si>
  <si>
    <t>EMP069</t>
  </si>
  <si>
    <t>EMP150</t>
  </si>
  <si>
    <t>EMP028</t>
  </si>
  <si>
    <t>EMP087</t>
  </si>
  <si>
    <t>EMP119</t>
  </si>
  <si>
    <t>Garcia</t>
  </si>
  <si>
    <t>EMP042</t>
  </si>
  <si>
    <t>Anderson</t>
  </si>
  <si>
    <t>EMP005</t>
  </si>
  <si>
    <t>EMP033</t>
  </si>
  <si>
    <t>hr01</t>
  </si>
  <si>
    <t>EMP061</t>
  </si>
  <si>
    <t>EMP102</t>
  </si>
  <si>
    <t>EMP067</t>
  </si>
  <si>
    <t>EMP017</t>
  </si>
  <si>
    <t>EMP123</t>
  </si>
  <si>
    <t>$75,519</t>
  </si>
  <si>
    <t>EMP011</t>
  </si>
  <si>
    <t>EMP091</t>
  </si>
  <si>
    <t>EMP145</t>
  </si>
  <si>
    <t>$50,936</t>
  </si>
  <si>
    <t>EMP001</t>
  </si>
  <si>
    <t>$111,240</t>
  </si>
  <si>
    <t>EMP113</t>
  </si>
  <si>
    <t>EMP065</t>
  </si>
  <si>
    <t xml:space="preserve"> HR01 </t>
  </si>
  <si>
    <t>EMP045</t>
  </si>
  <si>
    <t>EMP083</t>
  </si>
  <si>
    <t>William</t>
  </si>
  <si>
    <t>EMP029</t>
  </si>
  <si>
    <t>EMP041</t>
  </si>
  <si>
    <t>EMP026</t>
  </si>
  <si>
    <t>EMP024</t>
  </si>
  <si>
    <t>ops06</t>
  </si>
  <si>
    <t>EMP111</t>
  </si>
  <si>
    <t>EMP040</t>
  </si>
  <si>
    <t>02/19/2017</t>
  </si>
  <si>
    <t>$86,246</t>
  </si>
  <si>
    <t>EMP086</t>
  </si>
  <si>
    <t>EMP124</t>
  </si>
  <si>
    <t>EMP132</t>
  </si>
  <si>
    <t>EMP048</t>
  </si>
  <si>
    <t>09/29/2018</t>
  </si>
  <si>
    <t>$47,694</t>
  </si>
  <si>
    <t>EMP114</t>
  </si>
  <si>
    <t>EMP062</t>
  </si>
  <si>
    <t>EMP074</t>
  </si>
  <si>
    <t>EMP034</t>
  </si>
  <si>
    <t>EMP105</t>
  </si>
  <si>
    <t>EMP118</t>
  </si>
  <si>
    <t>EMP063</t>
  </si>
  <si>
    <t>EMP094</t>
  </si>
  <si>
    <t>$77,545</t>
  </si>
  <si>
    <t>EMP097</t>
  </si>
  <si>
    <t>EMP054</t>
  </si>
  <si>
    <t>EMP006</t>
  </si>
  <si>
    <t>EMP110</t>
  </si>
  <si>
    <t>$88,056</t>
  </si>
  <si>
    <t>EMP147</t>
  </si>
  <si>
    <t>EMP050</t>
  </si>
  <si>
    <t>$115,288</t>
  </si>
  <si>
    <t>EMP036</t>
  </si>
  <si>
    <t>EMP081</t>
  </si>
  <si>
    <t>EMP078</t>
  </si>
  <si>
    <t>EMP035</t>
  </si>
  <si>
    <t>EMP047</t>
  </si>
  <si>
    <t>EMP008</t>
  </si>
  <si>
    <t>EMP044</t>
  </si>
  <si>
    <t>$49,942</t>
  </si>
  <si>
    <t>EMP071</t>
  </si>
  <si>
    <t>EMP115</t>
  </si>
  <si>
    <t>EMP092</t>
  </si>
  <si>
    <t>05/22/2016</t>
  </si>
  <si>
    <t>EMP084</t>
  </si>
  <si>
    <t>EMP142</t>
  </si>
  <si>
    <t>EMP143</t>
  </si>
  <si>
    <t>$77,737</t>
  </si>
  <si>
    <t>EMP090</t>
  </si>
  <si>
    <t>$95,686</t>
  </si>
  <si>
    <t>EMP009</t>
  </si>
  <si>
    <t>EMP014</t>
  </si>
  <si>
    <t>$109,121</t>
  </si>
  <si>
    <t>EMP060</t>
  </si>
  <si>
    <t>$112,791</t>
  </si>
  <si>
    <t>EMP135</t>
  </si>
  <si>
    <t>EMP004</t>
  </si>
  <si>
    <t>EMP018</t>
  </si>
  <si>
    <t>EMP039</t>
  </si>
  <si>
    <t>EMP073</t>
  </si>
  <si>
    <t>EMP138</t>
  </si>
  <si>
    <t>04/20/2023</t>
  </si>
  <si>
    <t>EMP007</t>
  </si>
  <si>
    <t>EMP144</t>
  </si>
  <si>
    <t>EMP101</t>
  </si>
  <si>
    <t>EMP003</t>
  </si>
  <si>
    <t>EMP121</t>
  </si>
  <si>
    <t>$68,092</t>
  </si>
  <si>
    <t>EMP064</t>
  </si>
  <si>
    <t>EMP116</t>
  </si>
  <si>
    <t>EMP055</t>
  </si>
  <si>
    <t>EMP108</t>
  </si>
  <si>
    <t>EMP051</t>
  </si>
  <si>
    <t>EMP059</t>
  </si>
  <si>
    <t>EMP049</t>
  </si>
  <si>
    <t>$115,618</t>
  </si>
  <si>
    <t>EMP089</t>
  </si>
  <si>
    <t>$110,618</t>
  </si>
  <si>
    <t>EMP022</t>
  </si>
  <si>
    <t>EMP058</t>
  </si>
  <si>
    <t>EMP130</t>
  </si>
  <si>
    <t>08/29/2021</t>
  </si>
  <si>
    <t>EMP038</t>
  </si>
  <si>
    <t>$61,547</t>
  </si>
  <si>
    <t>EMP148</t>
  </si>
  <si>
    <t>EMP002</t>
  </si>
  <si>
    <t>EMP053</t>
  </si>
  <si>
    <t>10/22/2015</t>
  </si>
  <si>
    <t>EMP131</t>
  </si>
  <si>
    <t>EMP104</t>
  </si>
  <si>
    <t>EMP100</t>
  </si>
  <si>
    <t>EMP117</t>
  </si>
  <si>
    <t>$108,119</t>
  </si>
  <si>
    <t>EMP088</t>
  </si>
  <si>
    <t>EMP075</t>
  </si>
  <si>
    <t>EMP122</t>
  </si>
  <si>
    <t>EMP021</t>
  </si>
  <si>
    <t>EMP072</t>
  </si>
  <si>
    <t>EMP107</t>
  </si>
  <si>
    <t>EMP093</t>
  </si>
  <si>
    <t>EMP103</t>
  </si>
  <si>
    <t>$118,634</t>
  </si>
  <si>
    <t>Dept_Code</t>
  </si>
  <si>
    <t>Department_Name</t>
  </si>
  <si>
    <t>Human Resources</t>
  </si>
  <si>
    <t>Information Technology</t>
  </si>
  <si>
    <t>Finance</t>
  </si>
  <si>
    <t>Marketing</t>
  </si>
  <si>
    <t>Sales</t>
  </si>
  <si>
    <t>Operations</t>
  </si>
  <si>
    <t>Min_Score</t>
  </si>
  <si>
    <t>Max_Score</t>
  </si>
  <si>
    <t>Performance_Band</t>
  </si>
  <si>
    <t>Bonus_Percentage</t>
  </si>
  <si>
    <t>Needs Improvement</t>
  </si>
  <si>
    <t>Developing</t>
  </si>
  <si>
    <t>Achieving</t>
  </si>
  <si>
    <t>Exceeding</t>
  </si>
  <si>
    <t>Outstanding</t>
  </si>
  <si>
    <t>ACTIVE</t>
  </si>
  <si>
    <t>LEFT</t>
  </si>
  <si>
    <t>RESIGNED</t>
  </si>
  <si>
    <t>Unknown</t>
  </si>
  <si>
    <t>Cleaned EMP ID</t>
  </si>
  <si>
    <t>Cleaned First_Name</t>
  </si>
  <si>
    <t>Cleaned Last_Name</t>
  </si>
  <si>
    <t>Cleaned Dept_Code</t>
  </si>
  <si>
    <t>Cleaned Hire_Date</t>
  </si>
  <si>
    <t>Cleaned Salary</t>
  </si>
  <si>
    <t>Cleaned Perf_Score</t>
  </si>
  <si>
    <t>Cleaned Employment_Status</t>
  </si>
  <si>
    <t>Full_Name</t>
  </si>
  <si>
    <t>Year_of_Service</t>
  </si>
  <si>
    <t>Eligible_Bonus_Amount</t>
  </si>
  <si>
    <t>Grand Total</t>
  </si>
  <si>
    <t>Average Salary</t>
  </si>
  <si>
    <t>HeadCount</t>
  </si>
  <si>
    <t xml:space="preserve">                        Headcount &amp; Average Salary by Department</t>
  </si>
  <si>
    <t>Column Labels</t>
  </si>
  <si>
    <t>Attrition Rate</t>
  </si>
  <si>
    <t>Attrition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</si>
</sst>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h:mm:ss"/>
    <numFmt numFmtId="165" formatCode="&quot;₦&quot;#,##0.00"/>
    <numFmt numFmtId="168" formatCode="&quot;₦&quot;#,##0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1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49" fontId="1" fillId="0" borderId="0" xfId="0" applyNumberFormat="1" applyFont="1" applyBorder="1" applyAlignment="1">
      <alignment horizontal="center" vertical="top"/>
    </xf>
    <xf numFmtId="15" fontId="0" fillId="0" borderId="0" xfId="0" applyNumberFormat="1"/>
    <xf numFmtId="168" fontId="3" fillId="0" borderId="0" xfId="0" applyNumberFormat="1" applyFont="1"/>
    <xf numFmtId="168" fontId="0" fillId="0" borderId="0" xfId="0" applyNumberFormat="1"/>
    <xf numFmtId="2" fontId="3" fillId="0" borderId="0" xfId="0" applyNumberFormat="1" applyFont="1"/>
    <xf numFmtId="1" fontId="3" fillId="0" borderId="0" xfId="0" applyNumberFormat="1" applyFont="1"/>
    <xf numFmtId="1" fontId="0" fillId="0" borderId="0" xfId="0" applyNumberFormat="1"/>
    <xf numFmtId="14" fontId="3" fillId="0" borderId="0" xfId="0" applyNumberFormat="1" applyFont="1"/>
    <xf numFmtId="49" fontId="3" fillId="0" borderId="0" xfId="0" applyNumberFormat="1" applyFont="1"/>
    <xf numFmtId="0" fontId="0" fillId="0" borderId="0" xfId="0" applyNumberFormat="1"/>
    <xf numFmtId="49" fontId="3" fillId="0" borderId="0" xfId="0" applyNumberFormat="1" applyFont="1" applyFill="1"/>
    <xf numFmtId="49" fontId="0" fillId="0" borderId="0" xfId="0" applyNumberFormat="1" applyFill="1"/>
    <xf numFmtId="9" fontId="3" fillId="0" borderId="0" xfId="0" applyNumberFormat="1" applyFont="1"/>
    <xf numFmtId="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justify" vertical="center"/>
    </xf>
    <xf numFmtId="9" fontId="0" fillId="0" borderId="0" xfId="1" applyFont="1"/>
    <xf numFmtId="9" fontId="3" fillId="0" borderId="0" xfId="1" applyFont="1"/>
  </cellXfs>
  <cellStyles count="2">
    <cellStyle name="Normal" xfId="0" builtinId="0"/>
    <cellStyle name="Percent" xfId="1" builtinId="5"/>
  </cellStyles>
  <dxfs count="13">
    <dxf>
      <numFmt numFmtId="30" formatCode="@"/>
    </dxf>
    <dxf>
      <numFmt numFmtId="13" formatCode="0%"/>
    </dxf>
    <dxf>
      <numFmt numFmtId="30" formatCode="@"/>
    </dxf>
    <dxf>
      <numFmt numFmtId="1" formatCode="0"/>
    </dxf>
    <dxf>
      <numFmt numFmtId="168" formatCode="&quot;₦&quot;#,##0"/>
    </dxf>
    <dxf>
      <numFmt numFmtId="1" formatCode="0"/>
    </dxf>
    <dxf>
      <numFmt numFmtId="19" formatCode="dd/mm/yyyy"/>
    </dxf>
    <dxf>
      <numFmt numFmtId="2" formatCode="0.00"/>
    </dxf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</dxf>
    <dxf>
      <numFmt numFmtId="30" formatCode="@"/>
    </dxf>
    <dxf>
      <numFmt numFmtId="2" formatCode="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13.730153356482" createdVersion="8" refreshedVersion="8" minRefreshableVersion="3" recordCount="150" xr:uid="{E70A63EC-7F06-4E42-8492-733C8B086761}">
  <cacheSource type="worksheet">
    <worksheetSource name="Table1"/>
  </cacheSource>
  <cacheFields count="13">
    <cacheField name="Cleaned EMP ID" numFmtId="2">
      <sharedItems count="150">
        <s v="EMP127"/>
        <s v="EMP046"/>
        <s v="EMP134"/>
        <s v="EMP139"/>
        <s v="EMP112"/>
        <s v="EMP030"/>
        <s v="EMP096"/>
        <s v="EMP098"/>
        <s v="EMP095"/>
        <s v="EMP140"/>
        <s v="EMP020"/>
        <s v="EMP057"/>
        <s v="EMP016"/>
        <s v="EMP070"/>
        <s v="EMP025"/>
        <s v="EMP031"/>
        <s v="EMP126"/>
        <s v="EMP109"/>
        <s v="EMP066"/>
        <s v="EMP120"/>
        <s v="EMP019"/>
        <s v="EMP013"/>
        <s v="EMP010"/>
        <s v="EMP032"/>
        <s v="EMP082"/>
        <s v="EMP052"/>
        <s v="EMP129"/>
        <s v="EMP146"/>
        <s v="EMP099"/>
        <s v="EMP015"/>
        <s v="EMP076"/>
        <s v="EMP137"/>
        <s v="EMP056"/>
        <s v="EMP125"/>
        <s v="EMP085"/>
        <s v="EMP106"/>
        <s v="EMP043"/>
        <s v="EMP068"/>
        <s v="EMP128"/>
        <s v="EMP027"/>
        <s v="EMP136"/>
        <s v="EMP079"/>
        <s v="EMP149"/>
        <s v="EMP037"/>
        <s v="EMP077"/>
        <s v="EMP023"/>
        <s v="EMP133"/>
        <s v="EMP141"/>
        <s v="EMP012"/>
        <s v="EMP080"/>
        <s v="EMP069"/>
        <s v="EMP150"/>
        <s v="EMP028"/>
        <s v="EMP087"/>
        <s v="EMP119"/>
        <s v="EMP042"/>
        <s v="EMP005"/>
        <s v="EMP033"/>
        <s v="EMP061"/>
        <s v="EMP102"/>
        <s v="EMP067"/>
        <s v="EMP017"/>
        <s v="EMP123"/>
        <s v="EMP011"/>
        <s v="EMP091"/>
        <s v="EMP145"/>
        <s v="EMP001"/>
        <s v="EMP113"/>
        <s v="EMP065"/>
        <s v="EMP045"/>
        <s v="EMP083"/>
        <s v="EMP029"/>
        <s v="EMP041"/>
        <s v="EMP026"/>
        <s v="EMP024"/>
        <s v="EMP111"/>
        <s v="EMP040"/>
        <s v="EMP086"/>
        <s v="EMP124"/>
        <s v="EMP132"/>
        <s v="EMP048"/>
        <s v="EMP114"/>
        <s v="EMP062"/>
        <s v="EMP074"/>
        <s v="EMP034"/>
        <s v="EMP105"/>
        <s v="EMP118"/>
        <s v="EMP063"/>
        <s v="EMP094"/>
        <s v="EMP097"/>
        <s v="EMP054"/>
        <s v="EMP006"/>
        <s v="EMP110"/>
        <s v="EMP147"/>
        <s v="EMP050"/>
        <s v="EMP036"/>
        <s v="EMP081"/>
        <s v="EMP078"/>
        <s v="EMP035"/>
        <s v="EMP047"/>
        <s v="EMP008"/>
        <s v="EMP044"/>
        <s v="EMP071"/>
        <s v="EMP115"/>
        <s v="EMP092"/>
        <s v="EMP084"/>
        <s v="EMP142"/>
        <s v="EMP143"/>
        <s v="EMP090"/>
        <s v="EMP009"/>
        <s v="EMP014"/>
        <s v="EMP060"/>
        <s v="EMP135"/>
        <s v="EMP004"/>
        <s v="EMP018"/>
        <s v="EMP039"/>
        <s v="EMP073"/>
        <s v="EMP138"/>
        <s v="EMP007"/>
        <s v="EMP144"/>
        <s v="EMP101"/>
        <s v="EMP003"/>
        <s v="EMP121"/>
        <s v="EMP064"/>
        <s v="EMP116"/>
        <s v="EMP055"/>
        <s v="EMP108"/>
        <s v="EMP051"/>
        <s v="EMP059"/>
        <s v="EMP049"/>
        <s v="EMP089"/>
        <s v="EMP022"/>
        <s v="EMP058"/>
        <s v="EMP130"/>
        <s v="EMP038"/>
        <s v="EMP148"/>
        <s v="EMP002"/>
        <s v="EMP053"/>
        <s v="EMP131"/>
        <s v="EMP104"/>
        <s v="EMP100"/>
        <s v="EMP117"/>
        <s v="EMP088"/>
        <s v="EMP075"/>
        <s v="EMP122"/>
        <s v="EMP021"/>
        <s v="EMP072"/>
        <s v="EMP107"/>
        <s v="EMP093"/>
        <s v="EMP103"/>
      </sharedItems>
    </cacheField>
    <cacheField name="Cleaned First_Name" numFmtId="49">
      <sharedItems/>
    </cacheField>
    <cacheField name="Cleaned Last_Name" numFmtId="49">
      <sharedItems/>
    </cacheField>
    <cacheField name="Full_Name" numFmtId="49">
      <sharedItems/>
    </cacheField>
    <cacheField name="Department_Name" numFmtId="49">
      <sharedItems count="6">
        <s v="Information Technology"/>
        <s v="Marketing"/>
        <s v="Finance"/>
        <s v="Operations"/>
        <s v="Sales"/>
        <s v="Human Resources"/>
      </sharedItems>
    </cacheField>
    <cacheField name="Cleaned Dept_Code" numFmtId="2">
      <sharedItems/>
    </cacheField>
    <cacheField name="Cleaned Hire_Date" numFmtId="14">
      <sharedItems containsSemiMixedTypes="0" containsNonDate="0" containsDate="1" containsString="0" minDate="2015-01-04T00:00:00" maxDate="2023-12-13T00:00:00"/>
    </cacheField>
    <cacheField name="Year_of_Service" numFmtId="1">
      <sharedItems containsSemiMixedTypes="0" containsString="0" containsNumber="1" containsInteger="1" minValue="2" maxValue="11"/>
    </cacheField>
    <cacheField name="Cleaned Salary" numFmtId="168">
      <sharedItems containsSemiMixedTypes="0" containsString="0" containsNumber="1" minValue="45196" maxValue="118947"/>
    </cacheField>
    <cacheField name="Cleaned Perf_Score" numFmtId="1">
      <sharedItems containsSemiMixedTypes="0" containsString="0" containsNumber="1" minValue="30" maxValue="99"/>
    </cacheField>
    <cacheField name="Performance_Band" numFmtId="49">
      <sharedItems/>
    </cacheField>
    <cacheField name="Eligible_Bonus_Amount" numFmtId="9">
      <sharedItems containsSemiMixedTypes="0" containsString="0" containsNumber="1" minValue="0" maxValue="0.12"/>
    </cacheField>
    <cacheField name="Cleaned Employment_Status" numFmtId="49">
      <sharedItems count="3">
        <s v="ACTIVE"/>
        <s v="LEFT"/>
        <s v="RESIGN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x v="0"/>
    <s v="Emily"/>
    <s v="Brown"/>
    <s v="Emily Brown"/>
    <x v="0"/>
    <s v="IT02"/>
    <d v="2017-12-24T00:00:00"/>
    <n v="8"/>
    <n v="50361"/>
    <n v="52"/>
    <s v="Developing"/>
    <n v="0.02"/>
    <x v="0"/>
  </r>
  <r>
    <x v="1"/>
    <s v="Richard"/>
    <s v="Hernandez"/>
    <s v="Richard Hernandez"/>
    <x v="1"/>
    <s v="MKT04"/>
    <d v="2022-04-08T00:00:00"/>
    <n v="4"/>
    <n v="112673"/>
    <n v="68.219858156028366"/>
    <s v="Developing"/>
    <n v="0.02"/>
    <x v="0"/>
  </r>
  <r>
    <x v="2"/>
    <s v="Emily"/>
    <s v="Gonzalez"/>
    <s v="Emily Gonzalez"/>
    <x v="0"/>
    <s v="IT02"/>
    <d v="2016-03-02T00:00:00"/>
    <n v="10"/>
    <n v="114425"/>
    <n v="54"/>
    <s v="Developing"/>
    <n v="0.02"/>
    <x v="1"/>
  </r>
  <r>
    <x v="3"/>
    <s v="John"/>
    <s v="Martinez"/>
    <s v="John Martinez"/>
    <x v="2"/>
    <s v="FIN03"/>
    <d v="2023-07-03T00:00:00"/>
    <n v="3"/>
    <n v="103831"/>
    <n v="70"/>
    <s v="Achieving"/>
    <n v="0.05"/>
    <x v="0"/>
  </r>
  <r>
    <x v="4"/>
    <s v="Thomas"/>
    <s v="Smith"/>
    <s v="Thomas Smith"/>
    <x v="0"/>
    <s v="IT02"/>
    <d v="2023-02-20T00:00:00"/>
    <n v="3"/>
    <n v="73785"/>
    <n v="40"/>
    <s v="Needs Improvement"/>
    <n v="0"/>
    <x v="1"/>
  </r>
  <r>
    <x v="5"/>
    <s v="Emily"/>
    <s v="Johnson"/>
    <s v="Emily Johnson"/>
    <x v="3"/>
    <s v="OPS06"/>
    <d v="2020-03-02T00:00:00"/>
    <n v="6"/>
    <n v="115882"/>
    <n v="49"/>
    <s v="Needs Improvement"/>
    <n v="0"/>
    <x v="0"/>
  </r>
  <r>
    <x v="6"/>
    <s v="John"/>
    <s v="Wilson"/>
    <s v="John Wilson"/>
    <x v="3"/>
    <s v="OPS06"/>
    <d v="2023-12-12T00:00:00"/>
    <n v="2"/>
    <n v="59980"/>
    <n v="70"/>
    <s v="Achieving"/>
    <n v="0.05"/>
    <x v="1"/>
  </r>
  <r>
    <x v="7"/>
    <s v="Jessica"/>
    <s v="Smith"/>
    <s v="Jessica Smith"/>
    <x v="3"/>
    <s v="OPS06"/>
    <d v="2020-12-09T00:00:00"/>
    <n v="5"/>
    <n v="68728"/>
    <n v="45"/>
    <s v="Needs Improvement"/>
    <n v="0"/>
    <x v="0"/>
  </r>
  <r>
    <x v="8"/>
    <s v="Unknown"/>
    <s v="Rodriguez"/>
    <s v="Unknown Rodriguez"/>
    <x v="2"/>
    <s v="FIN03"/>
    <d v="2018-01-07T00:00:00"/>
    <n v="8"/>
    <n v="102139"/>
    <n v="79"/>
    <s v="Achieving"/>
    <n v="0.05"/>
    <x v="0"/>
  </r>
  <r>
    <x v="9"/>
    <s v="Michael"/>
    <s v="Martinez"/>
    <s v="Michael Martinez"/>
    <x v="4"/>
    <s v="SAL05"/>
    <d v="2016-11-02T00:00:00"/>
    <n v="9"/>
    <n v="94998"/>
    <n v="58"/>
    <s v="Developing"/>
    <n v="0.02"/>
    <x v="0"/>
  </r>
  <r>
    <x v="10"/>
    <s v="Emily"/>
    <s v="Miller"/>
    <s v="Emily Miller"/>
    <x v="4"/>
    <s v="SAL05"/>
    <d v="2020-03-21T00:00:00"/>
    <n v="6"/>
    <n v="118635"/>
    <n v="49"/>
    <s v="Needs Improvement"/>
    <n v="0"/>
    <x v="0"/>
  </r>
  <r>
    <x v="11"/>
    <s v="Emily"/>
    <s v="Hernandez"/>
    <s v="Emily Hernandez"/>
    <x v="0"/>
    <s v="IT02"/>
    <d v="2016-02-25T00:00:00"/>
    <n v="10"/>
    <n v="76918"/>
    <n v="62"/>
    <s v="Developing"/>
    <n v="0.02"/>
    <x v="0"/>
  </r>
  <r>
    <x v="12"/>
    <s v="Jane"/>
    <s v="Williams"/>
    <s v="Jane Williams"/>
    <x v="1"/>
    <s v="MKT04"/>
    <d v="2021-06-17T00:00:00"/>
    <n v="5"/>
    <n v="61408"/>
    <n v="48"/>
    <s v="Needs Improvement"/>
    <n v="0"/>
    <x v="0"/>
  </r>
  <r>
    <x v="13"/>
    <s v="Jane"/>
    <s v="Miller"/>
    <s v="Jane Miller"/>
    <x v="1"/>
    <s v="MKT04"/>
    <d v="2020-06-19T00:00:00"/>
    <n v="6"/>
    <n v="99990"/>
    <n v="54"/>
    <s v="Developing"/>
    <n v="0.02"/>
    <x v="0"/>
  </r>
  <r>
    <x v="14"/>
    <s v="Robert"/>
    <s v="Jones"/>
    <s v="Robert Jones"/>
    <x v="1"/>
    <s v="MKT04"/>
    <d v="2019-12-21T00:00:00"/>
    <n v="6"/>
    <n v="80385"/>
    <n v="68.219858156028366"/>
    <s v="Developing"/>
    <n v="0.02"/>
    <x v="0"/>
  </r>
  <r>
    <x v="15"/>
    <s v="Thomas"/>
    <s v="Rodriguez"/>
    <s v="Thomas Rodriguez"/>
    <x v="4"/>
    <s v="SAL05"/>
    <d v="2023-08-31T00:00:00"/>
    <n v="2"/>
    <n v="65290"/>
    <n v="77"/>
    <s v="Achieving"/>
    <n v="0.05"/>
    <x v="0"/>
  </r>
  <r>
    <x v="16"/>
    <s v="Emily"/>
    <s v="Davis"/>
    <s v="Emily Davis"/>
    <x v="0"/>
    <s v="IT02"/>
    <d v="2015-11-29T00:00:00"/>
    <n v="10"/>
    <n v="105765"/>
    <n v="42"/>
    <s v="Needs Improvement"/>
    <n v="0"/>
    <x v="0"/>
  </r>
  <r>
    <x v="17"/>
    <s v="James"/>
    <s v="Martinez"/>
    <s v="James Martinez"/>
    <x v="4"/>
    <s v="SAL05"/>
    <d v="2017-06-13T00:00:00"/>
    <n v="9"/>
    <n v="102921"/>
    <n v="49"/>
    <s v="Needs Improvement"/>
    <n v="0"/>
    <x v="0"/>
  </r>
  <r>
    <x v="18"/>
    <s v="Ashley"/>
    <s v="Lopez"/>
    <s v="Ashley Lopez"/>
    <x v="1"/>
    <s v="MKT04"/>
    <d v="2018-05-15T00:00:00"/>
    <n v="8"/>
    <n v="73984"/>
    <n v="62"/>
    <s v="Developing"/>
    <n v="0.02"/>
    <x v="0"/>
  </r>
  <r>
    <x v="19"/>
    <s v="Amanda"/>
    <s v="Gonzalez"/>
    <s v="Amanda Gonzalez"/>
    <x v="0"/>
    <s v="IT02"/>
    <d v="2016-07-24T00:00:00"/>
    <n v="9"/>
    <n v="80014.258064516136"/>
    <n v="93"/>
    <s v="Exceeding"/>
    <n v="0.08"/>
    <x v="0"/>
  </r>
  <r>
    <x v="20"/>
    <s v="Michael"/>
    <s v="Hernandez"/>
    <s v="Michael Hernandez"/>
    <x v="2"/>
    <s v="FIN03"/>
    <d v="2017-12-07T00:00:00"/>
    <n v="8"/>
    <n v="118527"/>
    <n v="75"/>
    <s v="Achieving"/>
    <n v="0.05"/>
    <x v="0"/>
  </r>
  <r>
    <x v="21"/>
    <s v="Richard"/>
    <s v="Hernandez"/>
    <s v="Richard Hernandez"/>
    <x v="1"/>
    <s v="MKT04"/>
    <d v="2021-06-06T00:00:00"/>
    <n v="5"/>
    <n v="107871"/>
    <n v="50"/>
    <s v="Developing"/>
    <n v="0.02"/>
    <x v="0"/>
  </r>
  <r>
    <x v="22"/>
    <s v="Michael"/>
    <s v="Rodriguez"/>
    <s v="Michael Rodriguez"/>
    <x v="0"/>
    <s v="IT02"/>
    <d v="2022-09-11T00:00:00"/>
    <n v="3"/>
    <n v="93956"/>
    <n v="88"/>
    <s v="Exceeding"/>
    <n v="0.08"/>
    <x v="0"/>
  </r>
  <r>
    <x v="23"/>
    <s v="Jessica"/>
    <s v="Johnson"/>
    <s v="Jessica Johnson"/>
    <x v="2"/>
    <s v="FIN03"/>
    <d v="2016-07-14T00:00:00"/>
    <n v="9"/>
    <n v="100851"/>
    <n v="50"/>
    <s v="Developing"/>
    <n v="0.02"/>
    <x v="1"/>
  </r>
  <r>
    <x v="24"/>
    <s v="Ashley"/>
    <s v="Williams"/>
    <s v="Ashley Williams"/>
    <x v="4"/>
    <s v="SAL05"/>
    <d v="2022-06-16T00:00:00"/>
    <n v="4"/>
    <n v="68655"/>
    <n v="64"/>
    <s v="Developing"/>
    <n v="0.02"/>
    <x v="0"/>
  </r>
  <r>
    <x v="25"/>
    <s v="Unknown"/>
    <s v="Williams"/>
    <s v="Unknown Williams"/>
    <x v="4"/>
    <s v="SAL05"/>
    <d v="2023-07-27T00:00:00"/>
    <n v="2"/>
    <n v="81205"/>
    <n v="32"/>
    <s v="Needs Improvement"/>
    <n v="0"/>
    <x v="0"/>
  </r>
  <r>
    <x v="26"/>
    <s v="John"/>
    <s v="Wilson"/>
    <s v="John Wilson"/>
    <x v="4"/>
    <s v="SAL05"/>
    <d v="2019-09-24T00:00:00"/>
    <n v="6"/>
    <n v="77610"/>
    <n v="59"/>
    <s v="Developing"/>
    <n v="0.02"/>
    <x v="0"/>
  </r>
  <r>
    <x v="27"/>
    <s v="Thomas"/>
    <s v="Rodriguez"/>
    <s v="Thomas Rodriguez"/>
    <x v="0"/>
    <s v="IT02"/>
    <d v="2022-07-23T00:00:00"/>
    <n v="3"/>
    <n v="50873"/>
    <n v="88"/>
    <s v="Exceeding"/>
    <n v="0.08"/>
    <x v="0"/>
  </r>
  <r>
    <x v="28"/>
    <s v="Michael"/>
    <s v="Wilson"/>
    <s v="Michael Wilson"/>
    <x v="2"/>
    <s v="FIN03"/>
    <d v="2018-05-13T00:00:00"/>
    <n v="8"/>
    <n v="85312"/>
    <n v="90"/>
    <s v="Exceeding"/>
    <n v="0.08"/>
    <x v="0"/>
  </r>
  <r>
    <x v="29"/>
    <s v="John"/>
    <s v="Rodriguez"/>
    <s v="John Rodriguez"/>
    <x v="4"/>
    <s v="SAL05"/>
    <d v="2015-07-17T00:00:00"/>
    <n v="10"/>
    <n v="87282.34782608696"/>
    <n v="66"/>
    <s v="Developing"/>
    <n v="0.02"/>
    <x v="0"/>
  </r>
  <r>
    <x v="30"/>
    <s v="Thomas"/>
    <s v="Hernandez"/>
    <s v="Thomas Hernandez"/>
    <x v="3"/>
    <s v="OPS06"/>
    <d v="2015-08-05T00:00:00"/>
    <n v="10"/>
    <n v="97055"/>
    <n v="68"/>
    <s v="Developing"/>
    <n v="0.02"/>
    <x v="0"/>
  </r>
  <r>
    <x v="31"/>
    <s v="Michael"/>
    <s v="Johnson"/>
    <s v="Michael Johnson"/>
    <x v="0"/>
    <s v="IT02"/>
    <d v="2023-09-26T00:00:00"/>
    <n v="2"/>
    <n v="66069"/>
    <n v="80"/>
    <s v="Achieving"/>
    <n v="0.05"/>
    <x v="0"/>
  </r>
  <r>
    <x v="32"/>
    <s v="Sarah"/>
    <s v="Brown"/>
    <s v="Sarah Brown"/>
    <x v="0"/>
    <s v="IT02"/>
    <d v="2019-06-10T00:00:00"/>
    <n v="7"/>
    <n v="90157"/>
    <n v="72"/>
    <s v="Achieving"/>
    <n v="0.05"/>
    <x v="0"/>
  </r>
  <r>
    <x v="33"/>
    <s v="Jane"/>
    <s v="Martinez"/>
    <s v="Jane Martinez"/>
    <x v="5"/>
    <s v="HR01"/>
    <d v="2022-01-17T00:00:00"/>
    <n v="4"/>
    <n v="59899"/>
    <n v="58"/>
    <s v="Developing"/>
    <n v="0.02"/>
    <x v="0"/>
  </r>
  <r>
    <x v="34"/>
    <s v="Emily"/>
    <s v="Jones"/>
    <s v="Emily Jones"/>
    <x v="2"/>
    <s v="FIN03"/>
    <d v="2017-07-03T00:00:00"/>
    <n v="9"/>
    <n v="113389"/>
    <n v="78"/>
    <s v="Achieving"/>
    <n v="0.05"/>
    <x v="0"/>
  </r>
  <r>
    <x v="35"/>
    <s v="Unknown"/>
    <s v="Brown"/>
    <s v="Unknown Brown"/>
    <x v="0"/>
    <s v="IT02"/>
    <d v="2015-09-01T00:00:00"/>
    <n v="10"/>
    <n v="102691"/>
    <n v="30"/>
    <s v="Needs Improvement"/>
    <n v="0"/>
    <x v="0"/>
  </r>
  <r>
    <x v="36"/>
    <s v="John"/>
    <s v="Wilson"/>
    <s v="John Wilson"/>
    <x v="3"/>
    <s v="OPS06"/>
    <d v="2022-08-03T00:00:00"/>
    <n v="3"/>
    <n v="111845"/>
    <n v="52"/>
    <s v="Developing"/>
    <n v="0.02"/>
    <x v="0"/>
  </r>
  <r>
    <x v="37"/>
    <s v="Melissa"/>
    <s v="Brown"/>
    <s v="Melissa Brown"/>
    <x v="4"/>
    <s v="SAL05"/>
    <d v="2022-06-29T00:00:00"/>
    <n v="4"/>
    <n v="69219"/>
    <n v="98"/>
    <s v="Outstanding"/>
    <n v="0.12"/>
    <x v="0"/>
  </r>
  <r>
    <x v="38"/>
    <s v="Michael"/>
    <s v="Smith"/>
    <s v="Michael Smith"/>
    <x v="2"/>
    <s v="FIN03"/>
    <d v="2020-04-28T00:00:00"/>
    <n v="6"/>
    <n v="87938.5"/>
    <n v="93"/>
    <s v="Exceeding"/>
    <n v="0.08"/>
    <x v="0"/>
  </r>
  <r>
    <x v="39"/>
    <s v="Sarah"/>
    <s v="Miller"/>
    <s v="Sarah Miller"/>
    <x v="3"/>
    <s v="OPS06"/>
    <d v="2017-09-09T00:00:00"/>
    <n v="8"/>
    <n v="57514"/>
    <n v="80"/>
    <s v="Achieving"/>
    <n v="0.05"/>
    <x v="1"/>
  </r>
  <r>
    <x v="40"/>
    <s v="Emily"/>
    <s v="Wilson"/>
    <s v="Emily Wilson"/>
    <x v="4"/>
    <s v="SAL05"/>
    <d v="2018-03-22T00:00:00"/>
    <n v="8"/>
    <n v="86245"/>
    <n v="68.219858156028366"/>
    <s v="Developing"/>
    <n v="0.02"/>
    <x v="0"/>
  </r>
  <r>
    <x v="41"/>
    <s v="David"/>
    <s v="Hernandez"/>
    <s v="David Hernandez"/>
    <x v="4"/>
    <s v="SAL05"/>
    <d v="2020-05-07T00:00:00"/>
    <n v="6"/>
    <n v="52407"/>
    <n v="71"/>
    <s v="Achieving"/>
    <n v="0.05"/>
    <x v="1"/>
  </r>
  <r>
    <x v="42"/>
    <s v="James"/>
    <s v="Smith"/>
    <s v="James Smith"/>
    <x v="3"/>
    <s v="OPS06"/>
    <d v="2019-03-25T00:00:00"/>
    <n v="7"/>
    <n v="66606"/>
    <n v="55"/>
    <s v="Developing"/>
    <n v="0.02"/>
    <x v="0"/>
  </r>
  <r>
    <x v="43"/>
    <s v="Sarah"/>
    <s v="Williams"/>
    <s v="Sarah Williams"/>
    <x v="0"/>
    <s v="IT02"/>
    <d v="2019-08-09T00:00:00"/>
    <n v="6"/>
    <n v="81896"/>
    <n v="93"/>
    <s v="Exceeding"/>
    <n v="0.08"/>
    <x v="2"/>
  </r>
  <r>
    <x v="44"/>
    <s v="Amanda"/>
    <s v="Lopez"/>
    <s v="Amanda Lopez"/>
    <x v="4"/>
    <s v="SAL05"/>
    <d v="2016-07-14T00:00:00"/>
    <n v="9"/>
    <n v="78402"/>
    <n v="79"/>
    <s v="Achieving"/>
    <n v="0.05"/>
    <x v="2"/>
  </r>
  <r>
    <x v="45"/>
    <s v="Thomas"/>
    <s v="Lopez"/>
    <s v="Thomas Lopez"/>
    <x v="3"/>
    <s v="OPS06"/>
    <d v="2016-10-04T00:00:00"/>
    <n v="9"/>
    <n v="105498"/>
    <n v="54"/>
    <s v="Developing"/>
    <n v="0.02"/>
    <x v="0"/>
  </r>
  <r>
    <x v="46"/>
    <s v="Melissa"/>
    <s v="Johnson"/>
    <s v="Melissa Johnson"/>
    <x v="1"/>
    <s v="MKT04"/>
    <d v="2019-07-10T00:00:00"/>
    <n v="7"/>
    <n v="91749"/>
    <n v="76"/>
    <s v="Achieving"/>
    <n v="0.05"/>
    <x v="0"/>
  </r>
  <r>
    <x v="47"/>
    <s v="Amanda"/>
    <s v="Johnson"/>
    <s v="Amanda Johnson"/>
    <x v="3"/>
    <s v="OPS06"/>
    <d v="2021-08-29T00:00:00"/>
    <n v="4"/>
    <n v="99935"/>
    <n v="72"/>
    <s v="Achieving"/>
    <n v="0.05"/>
    <x v="1"/>
  </r>
  <r>
    <x v="48"/>
    <s v="John"/>
    <s v="Davis"/>
    <s v="John Davis"/>
    <x v="0"/>
    <s v="IT02"/>
    <d v="2017-01-26T00:00:00"/>
    <n v="9"/>
    <n v="83531"/>
    <n v="84"/>
    <s v="Achieving"/>
    <n v="0.05"/>
    <x v="2"/>
  </r>
  <r>
    <x v="49"/>
    <s v="James"/>
    <s v="Johnson"/>
    <s v="James Johnson"/>
    <x v="1"/>
    <s v="MKT04"/>
    <d v="2020-05-30T00:00:00"/>
    <n v="6"/>
    <n v="75023"/>
    <n v="30"/>
    <s v="Needs Improvement"/>
    <n v="0"/>
    <x v="1"/>
  </r>
  <r>
    <x v="50"/>
    <s v="Jane"/>
    <s v="Davis"/>
    <s v="Jane Davis"/>
    <x v="5"/>
    <s v="HR01"/>
    <d v="2022-02-20T00:00:00"/>
    <n v="4"/>
    <n v="93290"/>
    <n v="68.219858156028366"/>
    <s v="Developing"/>
    <n v="0.02"/>
    <x v="0"/>
  </r>
  <r>
    <x v="51"/>
    <s v="Richard"/>
    <s v="Davis"/>
    <s v="Richard Davis"/>
    <x v="3"/>
    <s v="OPS06"/>
    <d v="2016-09-15T00:00:00"/>
    <n v="9"/>
    <n v="115527"/>
    <n v="53"/>
    <s v="Developing"/>
    <n v="0.02"/>
    <x v="0"/>
  </r>
  <r>
    <x v="52"/>
    <s v="Thomas"/>
    <s v="Rodriguez"/>
    <s v="Thomas Rodriguez"/>
    <x v="2"/>
    <s v="FIN03"/>
    <d v="2019-07-10T00:00:00"/>
    <n v="7"/>
    <n v="55920"/>
    <n v="63"/>
    <s v="Developing"/>
    <n v="0.02"/>
    <x v="2"/>
  </r>
  <r>
    <x v="53"/>
    <s v="Emily"/>
    <s v="Johnson"/>
    <s v="Emily Johnson"/>
    <x v="4"/>
    <s v="SAL05"/>
    <d v="2018-12-30T00:00:00"/>
    <n v="7"/>
    <n v="80189"/>
    <n v="84"/>
    <s v="Achieving"/>
    <n v="0.05"/>
    <x v="0"/>
  </r>
  <r>
    <x v="54"/>
    <s v="Emily"/>
    <s v="Garcia"/>
    <s v="Emily Garcia"/>
    <x v="5"/>
    <s v="HR01"/>
    <d v="2020-12-24T00:00:00"/>
    <n v="5"/>
    <n v="118947"/>
    <n v="30"/>
    <s v="Needs Improvement"/>
    <n v="0"/>
    <x v="0"/>
  </r>
  <r>
    <x v="55"/>
    <s v="Jane"/>
    <s v="Anderson"/>
    <s v="Jane Anderson"/>
    <x v="0"/>
    <s v="IT02"/>
    <d v="2023-07-05T00:00:00"/>
    <n v="3"/>
    <n v="80014.258064516136"/>
    <n v="96"/>
    <s v="Outstanding"/>
    <n v="0.12"/>
    <x v="0"/>
  </r>
  <r>
    <x v="56"/>
    <s v="Thomas"/>
    <s v="Garcia"/>
    <s v="Thomas Garcia"/>
    <x v="3"/>
    <s v="OPS06"/>
    <d v="2020-11-13T00:00:00"/>
    <n v="5"/>
    <n v="79786.666666666672"/>
    <n v="54"/>
    <s v="Developing"/>
    <n v="0.02"/>
    <x v="0"/>
  </r>
  <r>
    <x v="57"/>
    <s v="David"/>
    <s v="Martinez"/>
    <s v="David Martinez"/>
    <x v="5"/>
    <s v="HR01"/>
    <d v="2018-07-02T00:00:00"/>
    <n v="8"/>
    <n v="91655"/>
    <n v="75"/>
    <s v="Achieving"/>
    <n v="0.05"/>
    <x v="0"/>
  </r>
  <r>
    <x v="58"/>
    <s v="Emily"/>
    <s v="Brown"/>
    <s v="Emily Brown"/>
    <x v="0"/>
    <s v="IT02"/>
    <d v="2023-11-25T00:00:00"/>
    <n v="2"/>
    <n v="49435"/>
    <n v="95"/>
    <s v="Outstanding"/>
    <n v="0.12"/>
    <x v="0"/>
  </r>
  <r>
    <x v="59"/>
    <s v="Emily"/>
    <s v="Wilson"/>
    <s v="Emily Wilson"/>
    <x v="4"/>
    <s v="SAL05"/>
    <d v="2023-10-18T00:00:00"/>
    <n v="2"/>
    <n v="110381"/>
    <n v="68.219858156028366"/>
    <s v="Developing"/>
    <n v="0.02"/>
    <x v="1"/>
  </r>
  <r>
    <x v="60"/>
    <s v="Michael"/>
    <s v="Anderson"/>
    <s v="Michael Anderson"/>
    <x v="5"/>
    <s v="HR01"/>
    <d v="2020-09-05T00:00:00"/>
    <n v="5"/>
    <n v="114748"/>
    <n v="93"/>
    <s v="Exceeding"/>
    <n v="0.08"/>
    <x v="0"/>
  </r>
  <r>
    <x v="61"/>
    <s v="Robert"/>
    <s v="Johnson"/>
    <s v="Robert Johnson"/>
    <x v="3"/>
    <s v="OPS06"/>
    <d v="2017-03-06T00:00:00"/>
    <n v="9"/>
    <n v="63302"/>
    <n v="33"/>
    <s v="Needs Improvement"/>
    <n v="0"/>
    <x v="0"/>
  </r>
  <r>
    <x v="62"/>
    <s v="Robert"/>
    <s v="Miller"/>
    <s v="Robert Miller"/>
    <x v="0"/>
    <s v="IT02"/>
    <d v="2015-04-28T00:00:00"/>
    <n v="11"/>
    <n v="75519"/>
    <n v="91"/>
    <s v="Exceeding"/>
    <n v="0.08"/>
    <x v="0"/>
  </r>
  <r>
    <x v="63"/>
    <s v="Jane"/>
    <s v="Davis"/>
    <s v="Jane Davis"/>
    <x v="2"/>
    <s v="FIN03"/>
    <d v="2017-04-13T00:00:00"/>
    <n v="9"/>
    <n v="103891"/>
    <n v="64"/>
    <s v="Developing"/>
    <n v="0.02"/>
    <x v="0"/>
  </r>
  <r>
    <x v="64"/>
    <s v="Thomas"/>
    <s v="Davis"/>
    <s v="Thomas Davis"/>
    <x v="3"/>
    <s v="OPS06"/>
    <d v="2022-09-23T00:00:00"/>
    <n v="3"/>
    <n v="79786.666666666672"/>
    <n v="80"/>
    <s v="Achieving"/>
    <n v="0.05"/>
    <x v="0"/>
  </r>
  <r>
    <x v="65"/>
    <s v="Thomas"/>
    <s v="Jones"/>
    <s v="Thomas Jones"/>
    <x v="1"/>
    <s v="MKT04"/>
    <d v="2016-11-11T00:00:00"/>
    <n v="9"/>
    <n v="50936"/>
    <n v="46"/>
    <s v="Needs Improvement"/>
    <n v="0"/>
    <x v="1"/>
  </r>
  <r>
    <x v="66"/>
    <s v="Michael"/>
    <s v="Miller"/>
    <s v="Michael Miller"/>
    <x v="4"/>
    <s v="SAL05"/>
    <d v="2017-03-24T00:00:00"/>
    <n v="9"/>
    <n v="111240"/>
    <n v="99"/>
    <s v="Outstanding"/>
    <n v="0.12"/>
    <x v="0"/>
  </r>
  <r>
    <x v="67"/>
    <s v="Richard"/>
    <s v="Gonzalez"/>
    <s v="Richard Gonzalez"/>
    <x v="5"/>
    <s v="HR01"/>
    <d v="2019-05-05T00:00:00"/>
    <n v="7"/>
    <n v="51567"/>
    <n v="68.219858156028366"/>
    <s v="Developing"/>
    <n v="0.02"/>
    <x v="0"/>
  </r>
  <r>
    <x v="68"/>
    <s v="Melissa"/>
    <s v="Williams"/>
    <s v="Melissa Williams"/>
    <x v="5"/>
    <s v="HR01"/>
    <d v="2021-07-25T00:00:00"/>
    <n v="4"/>
    <n v="85649.941176470587"/>
    <n v="87"/>
    <s v="Exceeding"/>
    <n v="0.08"/>
    <x v="2"/>
  </r>
  <r>
    <x v="69"/>
    <s v="Robert"/>
    <s v="Miller"/>
    <s v="Robert Miller"/>
    <x v="5"/>
    <s v="HR01"/>
    <d v="2017-09-30T00:00:00"/>
    <n v="8"/>
    <n v="55270"/>
    <n v="36"/>
    <s v="Needs Improvement"/>
    <n v="0"/>
    <x v="0"/>
  </r>
  <r>
    <x v="70"/>
    <s v="William"/>
    <s v="Garcia"/>
    <s v="William Garcia"/>
    <x v="4"/>
    <s v="SAL05"/>
    <d v="2015-07-07T00:00:00"/>
    <n v="11"/>
    <n v="65235"/>
    <n v="87"/>
    <s v="Exceeding"/>
    <n v="0.08"/>
    <x v="0"/>
  </r>
  <r>
    <x v="71"/>
    <s v="John"/>
    <s v="Gonzalez"/>
    <s v="John Gonzalez"/>
    <x v="4"/>
    <s v="SAL05"/>
    <d v="2018-07-02T00:00:00"/>
    <n v="8"/>
    <n v="87282.34782608696"/>
    <n v="97"/>
    <s v="Outstanding"/>
    <n v="0.12"/>
    <x v="0"/>
  </r>
  <r>
    <x v="72"/>
    <s v="James"/>
    <s v="Gonzalez"/>
    <s v="James Gonzalez"/>
    <x v="4"/>
    <s v="SAL05"/>
    <d v="2022-09-15T00:00:00"/>
    <n v="3"/>
    <n v="87282.34782608696"/>
    <n v="72"/>
    <s v="Achieving"/>
    <n v="0.05"/>
    <x v="1"/>
  </r>
  <r>
    <x v="73"/>
    <s v="Jane"/>
    <s v="Gonzalez"/>
    <s v="Jane Gonzalez"/>
    <x v="4"/>
    <s v="SAL05"/>
    <d v="2015-09-02T00:00:00"/>
    <n v="10"/>
    <n v="87282.34782608696"/>
    <n v="65"/>
    <s v="Developing"/>
    <n v="0.02"/>
    <x v="1"/>
  </r>
  <r>
    <x v="74"/>
    <s v="David"/>
    <s v="Wilson"/>
    <s v="David Wilson"/>
    <x v="3"/>
    <s v="OPS06"/>
    <d v="2016-10-11T00:00:00"/>
    <n v="9"/>
    <n v="48823"/>
    <n v="91"/>
    <s v="Exceeding"/>
    <n v="0.08"/>
    <x v="0"/>
  </r>
  <r>
    <x v="75"/>
    <s v="Jane"/>
    <s v="Gonzalez"/>
    <s v="Jane Gonzalez"/>
    <x v="2"/>
    <s v="FIN03"/>
    <d v="2019-04-20T00:00:00"/>
    <n v="7"/>
    <n v="45196"/>
    <n v="67"/>
    <s v="Developing"/>
    <n v="0.02"/>
    <x v="0"/>
  </r>
  <r>
    <x v="76"/>
    <s v="Jane"/>
    <s v="Rodriguez"/>
    <s v="Jane Rodriguez"/>
    <x v="0"/>
    <s v="IT02"/>
    <d v="2017-02-19T00:00:00"/>
    <n v="9"/>
    <n v="86246"/>
    <n v="34"/>
    <s v="Needs Improvement"/>
    <n v="0"/>
    <x v="0"/>
  </r>
  <r>
    <x v="77"/>
    <s v="Emily"/>
    <s v="Miller"/>
    <s v="Emily Miller"/>
    <x v="4"/>
    <s v="SAL05"/>
    <d v="2021-07-09T00:00:00"/>
    <n v="5"/>
    <n v="70359"/>
    <n v="78"/>
    <s v="Achieving"/>
    <n v="0.05"/>
    <x v="1"/>
  </r>
  <r>
    <x v="78"/>
    <s v="Sarah"/>
    <s v="Miller"/>
    <s v="Sarah Miller"/>
    <x v="1"/>
    <s v="MKT04"/>
    <d v="2019-05-14T00:00:00"/>
    <n v="7"/>
    <n v="85508.166666666672"/>
    <n v="61"/>
    <s v="Developing"/>
    <n v="0.02"/>
    <x v="0"/>
  </r>
  <r>
    <x v="79"/>
    <s v="Jessica"/>
    <s v="Garcia"/>
    <s v="Jessica Garcia"/>
    <x v="3"/>
    <s v="OPS06"/>
    <d v="2015-11-22T00:00:00"/>
    <n v="10"/>
    <n v="86480"/>
    <n v="74"/>
    <s v="Achieving"/>
    <n v="0.05"/>
    <x v="1"/>
  </r>
  <r>
    <x v="80"/>
    <s v="Richard"/>
    <s v="Smith"/>
    <s v="Richard Smith"/>
    <x v="5"/>
    <s v="HR01"/>
    <d v="2018-09-29T00:00:00"/>
    <n v="7"/>
    <n v="47694"/>
    <n v="94"/>
    <s v="Exceeding"/>
    <n v="0.08"/>
    <x v="0"/>
  </r>
  <r>
    <x v="81"/>
    <s v="Melissa"/>
    <s v="Wilson"/>
    <s v="Melissa Wilson"/>
    <x v="0"/>
    <s v="IT02"/>
    <d v="2023-09-02T00:00:00"/>
    <n v="2"/>
    <n v="83724"/>
    <n v="80"/>
    <s v="Achieving"/>
    <n v="0.05"/>
    <x v="0"/>
  </r>
  <r>
    <x v="82"/>
    <s v="Thomas"/>
    <s v="Williams"/>
    <s v="Thomas Williams"/>
    <x v="2"/>
    <s v="FIN03"/>
    <d v="2022-07-17T00:00:00"/>
    <n v="3"/>
    <n v="98299"/>
    <n v="68.219858156028366"/>
    <s v="Developing"/>
    <n v="0.02"/>
    <x v="0"/>
  </r>
  <r>
    <x v="83"/>
    <s v="David"/>
    <s v="Williams"/>
    <s v="David Williams"/>
    <x v="2"/>
    <s v="FIN03"/>
    <d v="2021-02-07T00:00:00"/>
    <n v="5"/>
    <n v="87938.5"/>
    <n v="75"/>
    <s v="Achieving"/>
    <n v="0.05"/>
    <x v="0"/>
  </r>
  <r>
    <x v="84"/>
    <s v="John"/>
    <s v="Johnson"/>
    <s v="John Johnson"/>
    <x v="0"/>
    <s v="IT02"/>
    <d v="2023-04-10T00:00:00"/>
    <n v="3"/>
    <n v="52287"/>
    <n v="81"/>
    <s v="Achieving"/>
    <n v="0.05"/>
    <x v="2"/>
  </r>
  <r>
    <x v="85"/>
    <s v="Richard"/>
    <s v="Gonzalez"/>
    <s v="Richard Gonzalez"/>
    <x v="0"/>
    <s v="IT02"/>
    <d v="2020-08-30T00:00:00"/>
    <n v="5"/>
    <n v="82633"/>
    <n v="61"/>
    <s v="Developing"/>
    <n v="0.02"/>
    <x v="0"/>
  </r>
  <r>
    <x v="86"/>
    <s v="Melissa"/>
    <s v="Anderson"/>
    <s v="Melissa Anderson"/>
    <x v="3"/>
    <s v="OPS06"/>
    <d v="2021-08-14T00:00:00"/>
    <n v="4"/>
    <n v="46508"/>
    <n v="68"/>
    <s v="Developing"/>
    <n v="0.02"/>
    <x v="0"/>
  </r>
  <r>
    <x v="87"/>
    <s v="Emily"/>
    <s v="Gonzalez"/>
    <s v="Emily Gonzalez"/>
    <x v="5"/>
    <s v="HR01"/>
    <d v="2019-11-27T00:00:00"/>
    <n v="6"/>
    <n v="86232"/>
    <n v="70"/>
    <s v="Achieving"/>
    <n v="0.05"/>
    <x v="0"/>
  </r>
  <r>
    <x v="88"/>
    <s v="Jane"/>
    <s v="Davis"/>
    <s v="Jane Davis"/>
    <x v="0"/>
    <s v="IT02"/>
    <d v="2017-05-25T00:00:00"/>
    <n v="9"/>
    <n v="77545"/>
    <n v="98"/>
    <s v="Outstanding"/>
    <n v="0.12"/>
    <x v="0"/>
  </r>
  <r>
    <x v="89"/>
    <s v="William"/>
    <s v="Gonzalez"/>
    <s v="William Gonzalez"/>
    <x v="3"/>
    <s v="OPS06"/>
    <d v="2018-12-02T00:00:00"/>
    <n v="7"/>
    <n v="68683"/>
    <n v="34"/>
    <s v="Needs Improvement"/>
    <n v="0"/>
    <x v="0"/>
  </r>
  <r>
    <x v="90"/>
    <s v="Thomas"/>
    <s v="Jones"/>
    <s v="Thomas Jones"/>
    <x v="2"/>
    <s v="FIN03"/>
    <d v="2019-06-23T00:00:00"/>
    <n v="7"/>
    <n v="83932"/>
    <n v="93"/>
    <s v="Exceeding"/>
    <n v="0.08"/>
    <x v="0"/>
  </r>
  <r>
    <x v="91"/>
    <s v="Jessica"/>
    <s v="Anderson"/>
    <s v="Jessica Anderson"/>
    <x v="5"/>
    <s v="HR01"/>
    <d v="2015-10-27T00:00:00"/>
    <n v="10"/>
    <n v="56073"/>
    <n v="48"/>
    <s v="Needs Improvement"/>
    <n v="0"/>
    <x v="0"/>
  </r>
  <r>
    <x v="92"/>
    <s v="Melissa"/>
    <s v="Johnson"/>
    <s v="Melissa Johnson"/>
    <x v="0"/>
    <s v="IT02"/>
    <d v="2018-06-19T00:00:00"/>
    <n v="8"/>
    <n v="88056"/>
    <n v="90"/>
    <s v="Exceeding"/>
    <n v="0.08"/>
    <x v="0"/>
  </r>
  <r>
    <x v="93"/>
    <s v="Thomas"/>
    <s v="Miller"/>
    <s v="Thomas Miller"/>
    <x v="3"/>
    <s v="OPS06"/>
    <d v="2018-01-12T00:00:00"/>
    <n v="8"/>
    <n v="67414"/>
    <n v="57"/>
    <s v="Developing"/>
    <n v="0.02"/>
    <x v="1"/>
  </r>
  <r>
    <x v="94"/>
    <s v="William"/>
    <s v="Gonzalez"/>
    <s v="William Gonzalez"/>
    <x v="4"/>
    <s v="SAL05"/>
    <d v="2015-01-04T00:00:00"/>
    <n v="11"/>
    <n v="115288"/>
    <n v="79"/>
    <s v="Achieving"/>
    <n v="0.05"/>
    <x v="0"/>
  </r>
  <r>
    <x v="95"/>
    <s v="Unknown"/>
    <s v="Smith"/>
    <s v="Unknown Smith"/>
    <x v="4"/>
    <s v="SAL05"/>
    <d v="2018-12-05T00:00:00"/>
    <n v="7"/>
    <n v="80140"/>
    <n v="66"/>
    <s v="Developing"/>
    <n v="0.02"/>
    <x v="0"/>
  </r>
  <r>
    <x v="96"/>
    <s v="John"/>
    <s v="Johnson"/>
    <s v="John Johnson"/>
    <x v="0"/>
    <s v="IT02"/>
    <d v="2021-10-13T00:00:00"/>
    <n v="4"/>
    <n v="73087"/>
    <n v="84"/>
    <s v="Achieving"/>
    <n v="0.05"/>
    <x v="1"/>
  </r>
  <r>
    <x v="97"/>
    <s v="Jane"/>
    <s v="Johnson"/>
    <s v="Jane Johnson"/>
    <x v="4"/>
    <s v="SAL05"/>
    <d v="2020-09-07T00:00:00"/>
    <n v="5"/>
    <n v="95292"/>
    <n v="61"/>
    <s v="Developing"/>
    <n v="0.02"/>
    <x v="0"/>
  </r>
  <r>
    <x v="98"/>
    <s v="John"/>
    <s v="Jones"/>
    <s v="John Jones"/>
    <x v="0"/>
    <s v="IT02"/>
    <d v="2019-08-03T00:00:00"/>
    <n v="6"/>
    <n v="80014.258064516136"/>
    <n v="58"/>
    <s v="Developing"/>
    <n v="0.02"/>
    <x v="0"/>
  </r>
  <r>
    <x v="99"/>
    <s v="Jane"/>
    <s v="Lopez"/>
    <s v="Jane Lopez"/>
    <x v="1"/>
    <s v="MKT04"/>
    <d v="2015-03-11T00:00:00"/>
    <n v="11"/>
    <n v="101750"/>
    <n v="69"/>
    <s v="Developing"/>
    <n v="0.02"/>
    <x v="0"/>
  </r>
  <r>
    <x v="100"/>
    <s v="Melissa"/>
    <s v="Gonzalez"/>
    <s v="Melissa Gonzalez"/>
    <x v="1"/>
    <s v="MKT04"/>
    <d v="2017-02-19T00:00:00"/>
    <n v="9"/>
    <n v="82992"/>
    <n v="34"/>
    <s v="Needs Improvement"/>
    <n v="0"/>
    <x v="0"/>
  </r>
  <r>
    <x v="101"/>
    <s v="William"/>
    <s v="Davis"/>
    <s v="William Davis"/>
    <x v="0"/>
    <s v="IT02"/>
    <d v="2023-05-09T00:00:00"/>
    <n v="3"/>
    <n v="49942"/>
    <n v="33"/>
    <s v="Needs Improvement"/>
    <n v="0"/>
    <x v="0"/>
  </r>
  <r>
    <x v="102"/>
    <s v="John"/>
    <s v="Smith"/>
    <s v="John Smith"/>
    <x v="3"/>
    <s v="OPS06"/>
    <d v="2018-01-22T00:00:00"/>
    <n v="8"/>
    <n v="89060"/>
    <n v="84"/>
    <s v="Achieving"/>
    <n v="0.05"/>
    <x v="1"/>
  </r>
  <r>
    <x v="103"/>
    <s v="James"/>
    <s v="Gonzalez"/>
    <s v="James Gonzalez"/>
    <x v="0"/>
    <s v="IT02"/>
    <d v="2020-02-18T00:00:00"/>
    <n v="6"/>
    <n v="53786"/>
    <n v="79"/>
    <s v="Achieving"/>
    <n v="0.05"/>
    <x v="0"/>
  </r>
  <r>
    <x v="104"/>
    <s v="Emily"/>
    <s v="Johnson"/>
    <s v="Emily Johnson"/>
    <x v="3"/>
    <s v="OPS06"/>
    <d v="2016-05-22T00:00:00"/>
    <n v="10"/>
    <n v="81167"/>
    <n v="51"/>
    <s v="Developing"/>
    <n v="0.02"/>
    <x v="0"/>
  </r>
  <r>
    <x v="105"/>
    <s v="William"/>
    <s v="Williams"/>
    <s v="William Williams"/>
    <x v="1"/>
    <s v="MKT04"/>
    <d v="2021-06-02T00:00:00"/>
    <n v="5"/>
    <n v="66688"/>
    <n v="58"/>
    <s v="Developing"/>
    <n v="0.02"/>
    <x v="0"/>
  </r>
  <r>
    <x v="106"/>
    <s v="James"/>
    <s v="Jones"/>
    <s v="James Jones"/>
    <x v="0"/>
    <s v="IT02"/>
    <d v="2021-07-17T00:00:00"/>
    <n v="4"/>
    <n v="91672"/>
    <n v="98"/>
    <s v="Outstanding"/>
    <n v="0.12"/>
    <x v="0"/>
  </r>
  <r>
    <x v="107"/>
    <s v="Jessica"/>
    <s v="Gonzalez"/>
    <s v="Jessica Gonzalez"/>
    <x v="5"/>
    <s v="HR01"/>
    <d v="2016-11-13T00:00:00"/>
    <n v="9"/>
    <n v="77737"/>
    <n v="68.219858156028366"/>
    <s v="Developing"/>
    <n v="0.02"/>
    <x v="0"/>
  </r>
  <r>
    <x v="108"/>
    <s v="Sarah"/>
    <s v="Miller"/>
    <s v="Sarah Miller"/>
    <x v="4"/>
    <s v="SAL05"/>
    <d v="2019-02-17T00:00:00"/>
    <n v="7"/>
    <n v="95686"/>
    <n v="40"/>
    <s v="Needs Improvement"/>
    <n v="0"/>
    <x v="1"/>
  </r>
  <r>
    <x v="109"/>
    <s v="Jessica"/>
    <s v="Smith"/>
    <s v="Jessica Smith"/>
    <x v="4"/>
    <s v="SAL05"/>
    <d v="2016-09-12T00:00:00"/>
    <n v="9"/>
    <n v="114681"/>
    <n v="88"/>
    <s v="Exceeding"/>
    <n v="0.08"/>
    <x v="0"/>
  </r>
  <r>
    <x v="110"/>
    <s v="Thomas"/>
    <s v="Jones"/>
    <s v="Thomas Jones"/>
    <x v="3"/>
    <s v="OPS06"/>
    <d v="2021-08-13T00:00:00"/>
    <n v="4"/>
    <n v="109121"/>
    <n v="77"/>
    <s v="Achieving"/>
    <n v="0.05"/>
    <x v="0"/>
  </r>
  <r>
    <x v="111"/>
    <s v="Amanda"/>
    <s v="Brown"/>
    <s v="Amanda Brown"/>
    <x v="1"/>
    <s v="MKT04"/>
    <d v="2020-06-14T00:00:00"/>
    <n v="6"/>
    <n v="112791"/>
    <n v="91"/>
    <s v="Exceeding"/>
    <n v="0.08"/>
    <x v="0"/>
  </r>
  <r>
    <x v="112"/>
    <s v="Robert"/>
    <s v="Martinez"/>
    <s v="Robert Martinez"/>
    <x v="0"/>
    <s v="IT02"/>
    <d v="2022-07-05T00:00:00"/>
    <n v="4"/>
    <n v="118008"/>
    <n v="36"/>
    <s v="Needs Improvement"/>
    <n v="0"/>
    <x v="0"/>
  </r>
  <r>
    <x v="113"/>
    <s v="Thomas"/>
    <s v="Miller"/>
    <s v="Thomas Miller"/>
    <x v="0"/>
    <s v="IT02"/>
    <d v="2016-10-07T00:00:00"/>
    <n v="9"/>
    <n v="74370"/>
    <n v="72"/>
    <s v="Achieving"/>
    <n v="0.05"/>
    <x v="0"/>
  </r>
  <r>
    <x v="114"/>
    <s v="David"/>
    <s v="Rodriguez"/>
    <s v="David Rodriguez"/>
    <x v="0"/>
    <s v="IT02"/>
    <d v="2022-04-23T00:00:00"/>
    <n v="4"/>
    <n v="77819"/>
    <n v="87"/>
    <s v="Exceeding"/>
    <n v="0.08"/>
    <x v="0"/>
  </r>
  <r>
    <x v="115"/>
    <s v="Jane"/>
    <s v="Miller"/>
    <s v="Jane Miller"/>
    <x v="1"/>
    <s v="MKT04"/>
    <d v="2017-10-05T00:00:00"/>
    <n v="8"/>
    <n v="48748"/>
    <n v="71"/>
    <s v="Achieving"/>
    <n v="0.05"/>
    <x v="0"/>
  </r>
  <r>
    <x v="116"/>
    <s v="James"/>
    <s v="Rodriguez"/>
    <s v="James Rodriguez"/>
    <x v="3"/>
    <s v="OPS06"/>
    <d v="2020-05-20T00:00:00"/>
    <n v="6"/>
    <n v="101997"/>
    <n v="82"/>
    <s v="Achieving"/>
    <n v="0.05"/>
    <x v="0"/>
  </r>
  <r>
    <x v="117"/>
    <s v="Sarah"/>
    <s v="Rodriguez"/>
    <s v="Sarah Rodriguez"/>
    <x v="5"/>
    <s v="HR01"/>
    <d v="2023-04-20T00:00:00"/>
    <n v="3"/>
    <n v="115260"/>
    <n v="79"/>
    <s v="Achieving"/>
    <n v="0.05"/>
    <x v="0"/>
  </r>
  <r>
    <x v="118"/>
    <s v="Sarah"/>
    <s v="Wilson"/>
    <s v="Sarah Wilson"/>
    <x v="4"/>
    <s v="SAL05"/>
    <d v="2021-10-31T00:00:00"/>
    <n v="4"/>
    <n v="87282.34782608696"/>
    <n v="83"/>
    <s v="Achieving"/>
    <n v="0.05"/>
    <x v="0"/>
  </r>
  <r>
    <x v="119"/>
    <s v="Melissa"/>
    <s v="Brown"/>
    <s v="Melissa Brown"/>
    <x v="0"/>
    <s v="IT02"/>
    <d v="2021-10-24T00:00:00"/>
    <n v="4"/>
    <n v="80014.258064516136"/>
    <n v="38"/>
    <s v="Needs Improvement"/>
    <n v="0"/>
    <x v="2"/>
  </r>
  <r>
    <x v="120"/>
    <s v="Robert"/>
    <s v="Williams"/>
    <s v="Robert Williams"/>
    <x v="4"/>
    <s v="SAL05"/>
    <d v="2017-08-09T00:00:00"/>
    <n v="8"/>
    <n v="87282.34782608696"/>
    <n v="77"/>
    <s v="Achieving"/>
    <n v="0.05"/>
    <x v="0"/>
  </r>
  <r>
    <x v="121"/>
    <s v="Melissa"/>
    <s v="Rodriguez"/>
    <s v="Melissa Rodriguez"/>
    <x v="3"/>
    <s v="OPS06"/>
    <d v="2023-01-04T00:00:00"/>
    <n v="3"/>
    <n v="60623"/>
    <n v="49"/>
    <s v="Needs Improvement"/>
    <n v="0"/>
    <x v="0"/>
  </r>
  <r>
    <x v="122"/>
    <s v="James"/>
    <s v="Johnson"/>
    <s v="James Johnson"/>
    <x v="5"/>
    <s v="HR01"/>
    <d v="2020-08-10T00:00:00"/>
    <n v="5"/>
    <n v="68092"/>
    <n v="69"/>
    <s v="Developing"/>
    <n v="0.02"/>
    <x v="1"/>
  </r>
  <r>
    <x v="123"/>
    <s v="Michael"/>
    <s v="Wilson"/>
    <s v="Michael Wilson"/>
    <x v="1"/>
    <s v="MKT04"/>
    <d v="2022-04-02T00:00:00"/>
    <n v="4"/>
    <n v="88155"/>
    <n v="76"/>
    <s v="Achieving"/>
    <n v="0.05"/>
    <x v="0"/>
  </r>
  <r>
    <x v="124"/>
    <s v="William"/>
    <s v="Jones"/>
    <s v="William Jones"/>
    <x v="1"/>
    <s v="MKT04"/>
    <d v="2018-03-24T00:00:00"/>
    <n v="8"/>
    <n v="107903"/>
    <n v="78"/>
    <s v="Achieving"/>
    <n v="0.05"/>
    <x v="0"/>
  </r>
  <r>
    <x v="125"/>
    <s v="William"/>
    <s v="Williams"/>
    <s v="William Williams"/>
    <x v="0"/>
    <s v="IT02"/>
    <d v="2018-07-24T00:00:00"/>
    <n v="7"/>
    <n v="62818"/>
    <n v="93"/>
    <s v="Exceeding"/>
    <n v="0.08"/>
    <x v="0"/>
  </r>
  <r>
    <x v="126"/>
    <s v="David"/>
    <s v="Williams"/>
    <s v="David Williams"/>
    <x v="5"/>
    <s v="HR01"/>
    <d v="2018-07-20T00:00:00"/>
    <n v="7"/>
    <n v="85151"/>
    <n v="68"/>
    <s v="Developing"/>
    <n v="0.02"/>
    <x v="0"/>
  </r>
  <r>
    <x v="127"/>
    <s v="Jane"/>
    <s v="Davis"/>
    <s v="Jane Davis"/>
    <x v="2"/>
    <s v="FIN03"/>
    <d v="2016-03-04T00:00:00"/>
    <n v="10"/>
    <n v="46390"/>
    <n v="42"/>
    <s v="Needs Improvement"/>
    <n v="0"/>
    <x v="0"/>
  </r>
  <r>
    <x v="128"/>
    <s v="John"/>
    <s v="Martinez"/>
    <s v="John Martinez"/>
    <x v="5"/>
    <s v="HR01"/>
    <d v="2022-03-23T00:00:00"/>
    <n v="4"/>
    <n v="111920"/>
    <n v="34"/>
    <s v="Needs Improvement"/>
    <n v="0"/>
    <x v="0"/>
  </r>
  <r>
    <x v="129"/>
    <s v="David"/>
    <s v="Anderson"/>
    <s v="David Anderson"/>
    <x v="5"/>
    <s v="HR01"/>
    <d v="2017-07-28T00:00:00"/>
    <n v="8"/>
    <n v="115618"/>
    <n v="35"/>
    <s v="Needs Improvement"/>
    <n v="0"/>
    <x v="0"/>
  </r>
  <r>
    <x v="130"/>
    <s v="Sarah"/>
    <s v="Smith"/>
    <s v="Sarah Smith"/>
    <x v="4"/>
    <s v="SAL05"/>
    <d v="2023-11-05T00:00:00"/>
    <n v="2"/>
    <n v="110618"/>
    <n v="95"/>
    <s v="Outstanding"/>
    <n v="0.12"/>
    <x v="0"/>
  </r>
  <r>
    <x v="131"/>
    <s v="Melissa"/>
    <s v="Hernandez"/>
    <s v="Melissa Hernandez"/>
    <x v="3"/>
    <s v="OPS06"/>
    <d v="2022-03-19T00:00:00"/>
    <n v="4"/>
    <n v="108395"/>
    <n v="68.219858156028366"/>
    <s v="Developing"/>
    <n v="0.02"/>
    <x v="0"/>
  </r>
  <r>
    <x v="132"/>
    <s v="Melissa"/>
    <s v="Johnson"/>
    <s v="Melissa Johnson"/>
    <x v="2"/>
    <s v="FIN03"/>
    <d v="2017-12-22T00:00:00"/>
    <n v="8"/>
    <n v="88005"/>
    <n v="90"/>
    <s v="Exceeding"/>
    <n v="0.08"/>
    <x v="1"/>
  </r>
  <r>
    <x v="133"/>
    <s v="Jane"/>
    <s v="Garcia"/>
    <s v="Jane Garcia"/>
    <x v="1"/>
    <s v="MKT04"/>
    <d v="2021-08-29T00:00:00"/>
    <n v="4"/>
    <n v="83007"/>
    <n v="42"/>
    <s v="Needs Improvement"/>
    <n v="0"/>
    <x v="0"/>
  </r>
  <r>
    <x v="134"/>
    <s v="David"/>
    <s v="Davis"/>
    <s v="David Davis"/>
    <x v="0"/>
    <s v="IT02"/>
    <d v="2018-09-17T00:00:00"/>
    <n v="7"/>
    <n v="61547"/>
    <n v="88"/>
    <s v="Exceeding"/>
    <n v="0.08"/>
    <x v="2"/>
  </r>
  <r>
    <x v="135"/>
    <s v="James"/>
    <s v="Wilson"/>
    <s v="James Wilson"/>
    <x v="4"/>
    <s v="SAL05"/>
    <d v="2021-06-28T00:00:00"/>
    <n v="5"/>
    <n v="87282.34782608696"/>
    <n v="78"/>
    <s v="Achieving"/>
    <n v="0.05"/>
    <x v="1"/>
  </r>
  <r>
    <x v="136"/>
    <s v="Richard"/>
    <s v="Johnson"/>
    <s v="Richard Johnson"/>
    <x v="3"/>
    <s v="OPS06"/>
    <d v="2017-10-03T00:00:00"/>
    <n v="8"/>
    <n v="50399"/>
    <n v="69"/>
    <s v="Developing"/>
    <n v="0.02"/>
    <x v="0"/>
  </r>
  <r>
    <x v="137"/>
    <s v="Richard"/>
    <s v="Williams"/>
    <s v="Richard Williams"/>
    <x v="2"/>
    <s v="FIN03"/>
    <d v="2015-10-22T00:00:00"/>
    <n v="10"/>
    <n v="87938.5"/>
    <n v="66"/>
    <s v="Developing"/>
    <n v="0.02"/>
    <x v="0"/>
  </r>
  <r>
    <x v="138"/>
    <s v="John"/>
    <s v="Hernandez"/>
    <s v="John Hernandez"/>
    <x v="3"/>
    <s v="OPS06"/>
    <d v="2018-06-06T00:00:00"/>
    <n v="8"/>
    <n v="52720"/>
    <n v="82"/>
    <s v="Achieving"/>
    <n v="0.05"/>
    <x v="0"/>
  </r>
  <r>
    <x v="139"/>
    <s v="Sarah"/>
    <s v="Gonzalez"/>
    <s v="Sarah Gonzalez"/>
    <x v="3"/>
    <s v="OPS06"/>
    <d v="2017-07-16T00:00:00"/>
    <n v="8"/>
    <n v="65065"/>
    <n v="68"/>
    <s v="Developing"/>
    <n v="0.02"/>
    <x v="0"/>
  </r>
  <r>
    <x v="140"/>
    <s v="Melissa"/>
    <s v="Hernandez"/>
    <s v="Melissa Hernandez"/>
    <x v="4"/>
    <s v="SAL05"/>
    <d v="2015-06-20T00:00:00"/>
    <n v="11"/>
    <n v="87282.34782608696"/>
    <n v="52"/>
    <s v="Developing"/>
    <n v="0.02"/>
    <x v="0"/>
  </r>
  <r>
    <x v="141"/>
    <s v="Melissa"/>
    <s v="Hernandez"/>
    <s v="Melissa Hernandez"/>
    <x v="3"/>
    <s v="OPS06"/>
    <d v="2019-05-24T00:00:00"/>
    <n v="7"/>
    <n v="108119"/>
    <n v="92"/>
    <s v="Exceeding"/>
    <n v="0.08"/>
    <x v="1"/>
  </r>
  <r>
    <x v="142"/>
    <s v="John"/>
    <s v="Davis"/>
    <s v="John Davis"/>
    <x v="0"/>
    <s v="IT02"/>
    <d v="2020-02-26T00:00:00"/>
    <n v="6"/>
    <n v="80014.258064516136"/>
    <n v="62"/>
    <s v="Developing"/>
    <n v="0.02"/>
    <x v="0"/>
  </r>
  <r>
    <x v="143"/>
    <s v="Richard"/>
    <s v="Davis"/>
    <s v="Richard Davis"/>
    <x v="5"/>
    <s v="HR01"/>
    <d v="2023-03-06T00:00:00"/>
    <n v="3"/>
    <n v="106896"/>
    <n v="68"/>
    <s v="Developing"/>
    <n v="0.02"/>
    <x v="0"/>
  </r>
  <r>
    <x v="144"/>
    <s v="Unknown"/>
    <s v="Jones"/>
    <s v="Unknown Jones"/>
    <x v="0"/>
    <s v="IT02"/>
    <d v="2019-12-01T00:00:00"/>
    <n v="6"/>
    <n v="112887"/>
    <n v="98"/>
    <s v="Outstanding"/>
    <n v="0.12"/>
    <x v="0"/>
  </r>
  <r>
    <x v="145"/>
    <s v="William"/>
    <s v="Rodriguez"/>
    <s v="William Rodriguez"/>
    <x v="2"/>
    <s v="FIN03"/>
    <d v="2023-04-21T00:00:00"/>
    <n v="3"/>
    <n v="85457"/>
    <n v="94"/>
    <s v="Exceeding"/>
    <n v="0.08"/>
    <x v="2"/>
  </r>
  <r>
    <x v="146"/>
    <s v="Melissa"/>
    <s v="Miller"/>
    <s v="Melissa Miller"/>
    <x v="4"/>
    <s v="SAL05"/>
    <d v="2016-05-29T00:00:00"/>
    <n v="10"/>
    <n v="62798"/>
    <n v="57"/>
    <s v="Developing"/>
    <n v="0.02"/>
    <x v="2"/>
  </r>
  <r>
    <x v="147"/>
    <s v="Emily"/>
    <s v="Martinez"/>
    <s v="Emily Martinez"/>
    <x v="3"/>
    <s v="OPS06"/>
    <d v="2022-05-30T00:00:00"/>
    <n v="4"/>
    <n v="47794"/>
    <n v="96"/>
    <s v="Outstanding"/>
    <n v="0.12"/>
    <x v="0"/>
  </r>
  <r>
    <x v="148"/>
    <s v="James"/>
    <s v="Rodriguez"/>
    <s v="James Rodriguez"/>
    <x v="1"/>
    <s v="MKT04"/>
    <d v="2016-11-03T00:00:00"/>
    <n v="9"/>
    <n v="93094"/>
    <n v="52"/>
    <s v="Developing"/>
    <n v="0.02"/>
    <x v="1"/>
  </r>
  <r>
    <x v="149"/>
    <s v="Amanda"/>
    <s v="Brown"/>
    <s v="Amanda Brown"/>
    <x v="0"/>
    <s v="IT02"/>
    <d v="2022-10-14T00:00:00"/>
    <n v="3"/>
    <n v="118634"/>
    <n v="59"/>
    <s v="Developing"/>
    <n v="0.0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AA84F8-7B84-44FD-A04F-FD9B3F7229C6}" name="PivotTable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partment_Name">
  <location ref="F3:J11" firstHeaderRow="1" firstDataRow="2" firstDataCol="1"/>
  <pivotFields count="13">
    <pivotField dataField="1" showAll="0">
      <items count="151">
        <item x="66"/>
        <item x="136"/>
        <item x="121"/>
        <item x="113"/>
        <item x="56"/>
        <item x="91"/>
        <item x="118"/>
        <item x="100"/>
        <item x="109"/>
        <item x="22"/>
        <item x="63"/>
        <item x="48"/>
        <item x="21"/>
        <item x="110"/>
        <item x="29"/>
        <item x="12"/>
        <item x="61"/>
        <item x="114"/>
        <item x="20"/>
        <item x="10"/>
        <item x="145"/>
        <item x="131"/>
        <item x="45"/>
        <item x="74"/>
        <item x="14"/>
        <item x="73"/>
        <item x="39"/>
        <item x="52"/>
        <item x="71"/>
        <item x="5"/>
        <item x="15"/>
        <item x="23"/>
        <item x="57"/>
        <item x="84"/>
        <item x="98"/>
        <item x="95"/>
        <item x="43"/>
        <item x="134"/>
        <item x="115"/>
        <item x="76"/>
        <item x="72"/>
        <item x="55"/>
        <item x="36"/>
        <item x="101"/>
        <item x="69"/>
        <item x="1"/>
        <item x="99"/>
        <item x="80"/>
        <item x="129"/>
        <item x="94"/>
        <item x="127"/>
        <item x="25"/>
        <item x="137"/>
        <item x="90"/>
        <item x="125"/>
        <item x="32"/>
        <item x="11"/>
        <item x="132"/>
        <item x="128"/>
        <item x="111"/>
        <item x="58"/>
        <item x="82"/>
        <item x="87"/>
        <item x="123"/>
        <item x="68"/>
        <item x="18"/>
        <item x="60"/>
        <item x="37"/>
        <item x="50"/>
        <item x="13"/>
        <item x="102"/>
        <item x="146"/>
        <item x="116"/>
        <item x="83"/>
        <item x="143"/>
        <item x="30"/>
        <item x="44"/>
        <item x="97"/>
        <item x="41"/>
        <item x="49"/>
        <item x="96"/>
        <item x="24"/>
        <item x="70"/>
        <item x="105"/>
        <item x="34"/>
        <item x="77"/>
        <item x="53"/>
        <item x="142"/>
        <item x="130"/>
        <item x="108"/>
        <item x="64"/>
        <item x="104"/>
        <item x="148"/>
        <item x="88"/>
        <item x="8"/>
        <item x="6"/>
        <item x="89"/>
        <item x="7"/>
        <item x="28"/>
        <item x="140"/>
        <item x="120"/>
        <item x="59"/>
        <item x="149"/>
        <item x="139"/>
        <item x="85"/>
        <item x="35"/>
        <item x="147"/>
        <item x="126"/>
        <item x="17"/>
        <item x="92"/>
        <item x="75"/>
        <item x="4"/>
        <item x="67"/>
        <item x="81"/>
        <item x="103"/>
        <item x="124"/>
        <item x="141"/>
        <item x="86"/>
        <item x="54"/>
        <item x="19"/>
        <item x="122"/>
        <item x="144"/>
        <item x="62"/>
        <item x="78"/>
        <item x="33"/>
        <item x="16"/>
        <item x="0"/>
        <item x="38"/>
        <item x="26"/>
        <item x="133"/>
        <item x="138"/>
        <item x="79"/>
        <item x="46"/>
        <item x="2"/>
        <item x="112"/>
        <item x="40"/>
        <item x="31"/>
        <item x="117"/>
        <item x="3"/>
        <item x="9"/>
        <item x="47"/>
        <item x="106"/>
        <item x="107"/>
        <item x="119"/>
        <item x="65"/>
        <item x="27"/>
        <item x="93"/>
        <item x="135"/>
        <item x="42"/>
        <item x="51"/>
        <item t="default"/>
      </items>
    </pivotField>
    <pivotField showAll="0"/>
    <pivotField showAll="0"/>
    <pivotField showAll="0"/>
    <pivotField axis="axisRow" showAll="0">
      <items count="7">
        <item x="2"/>
        <item x="5"/>
        <item x="0"/>
        <item x="1"/>
        <item x="3"/>
        <item x="4"/>
        <item t="default"/>
      </items>
    </pivotField>
    <pivotField showAll="0"/>
    <pivotField numFmtId="14" showAll="0"/>
    <pivotField numFmtId="1" showAll="0"/>
    <pivotField numFmtId="168" showAll="0"/>
    <pivotField numFmtId="1" showAll="0"/>
    <pivotField showAll="0"/>
    <pivotField numFmtId="9" showAll="0"/>
    <pivotField axis="axisCol" showAll="0">
      <items count="4">
        <item x="0"/>
        <item x="1"/>
        <item x="2"/>
        <item t="default"/>
      </items>
    </pivotField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2"/>
  </colFields>
  <colItems count="4">
    <i>
      <x/>
    </i>
    <i>
      <x v="1"/>
    </i>
    <i>
      <x v="2"/>
    </i>
    <i t="grand">
      <x/>
    </i>
  </colItems>
  <dataFields count="1">
    <dataField name="HeadCount" fld="0" subtotal="count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C03F21-8440-4E60-A15F-EDE839858110}" name="Headcount &amp; Average Salary by Department" cacheId="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Department_Name">
  <location ref="A3:C9" firstHeaderRow="0" firstDataRow="1" firstDataCol="1"/>
  <pivotFields count="13">
    <pivotField dataField="1" showAll="0">
      <items count="151">
        <item x="66"/>
        <item x="136"/>
        <item x="121"/>
        <item x="113"/>
        <item x="56"/>
        <item x="91"/>
        <item x="118"/>
        <item x="100"/>
        <item x="109"/>
        <item x="22"/>
        <item x="63"/>
        <item x="48"/>
        <item x="21"/>
        <item x="110"/>
        <item x="29"/>
        <item x="12"/>
        <item x="61"/>
        <item x="114"/>
        <item x="20"/>
        <item x="10"/>
        <item x="145"/>
        <item x="131"/>
        <item x="45"/>
        <item x="74"/>
        <item x="14"/>
        <item x="73"/>
        <item x="39"/>
        <item x="52"/>
        <item x="71"/>
        <item x="5"/>
        <item x="15"/>
        <item x="23"/>
        <item x="57"/>
        <item x="84"/>
        <item x="98"/>
        <item x="95"/>
        <item x="43"/>
        <item x="134"/>
        <item x="115"/>
        <item x="76"/>
        <item x="72"/>
        <item x="55"/>
        <item x="36"/>
        <item x="101"/>
        <item x="69"/>
        <item x="1"/>
        <item x="99"/>
        <item x="80"/>
        <item x="129"/>
        <item x="94"/>
        <item x="127"/>
        <item x="25"/>
        <item x="137"/>
        <item x="90"/>
        <item x="125"/>
        <item x="32"/>
        <item x="11"/>
        <item x="132"/>
        <item x="128"/>
        <item x="111"/>
        <item x="58"/>
        <item x="82"/>
        <item x="87"/>
        <item x="123"/>
        <item x="68"/>
        <item x="18"/>
        <item x="60"/>
        <item x="37"/>
        <item x="50"/>
        <item x="13"/>
        <item x="102"/>
        <item x="146"/>
        <item x="116"/>
        <item x="83"/>
        <item x="143"/>
        <item x="30"/>
        <item x="44"/>
        <item x="97"/>
        <item x="41"/>
        <item x="49"/>
        <item x="96"/>
        <item x="24"/>
        <item x="70"/>
        <item x="105"/>
        <item x="34"/>
        <item x="77"/>
        <item x="53"/>
        <item x="142"/>
        <item x="130"/>
        <item x="108"/>
        <item x="64"/>
        <item x="104"/>
        <item x="148"/>
        <item x="88"/>
        <item x="8"/>
        <item x="6"/>
        <item x="89"/>
        <item x="7"/>
        <item x="28"/>
        <item x="140"/>
        <item x="120"/>
        <item x="59"/>
        <item x="149"/>
        <item x="139"/>
        <item x="85"/>
        <item x="35"/>
        <item x="147"/>
        <item x="126"/>
        <item x="17"/>
        <item x="92"/>
        <item x="75"/>
        <item x="4"/>
        <item x="67"/>
        <item x="81"/>
        <item x="103"/>
        <item x="124"/>
        <item x="141"/>
        <item x="86"/>
        <item x="54"/>
        <item x="19"/>
        <item x="122"/>
        <item x="144"/>
        <item x="62"/>
        <item x="78"/>
        <item x="33"/>
        <item x="16"/>
        <item x="0"/>
        <item x="38"/>
        <item x="26"/>
        <item x="133"/>
        <item x="138"/>
        <item x="79"/>
        <item x="46"/>
        <item x="2"/>
        <item x="112"/>
        <item x="40"/>
        <item x="31"/>
        <item x="117"/>
        <item x="3"/>
        <item x="9"/>
        <item x="47"/>
        <item x="106"/>
        <item x="107"/>
        <item x="119"/>
        <item x="65"/>
        <item x="27"/>
        <item x="93"/>
        <item x="135"/>
        <item x="42"/>
        <item x="51"/>
        <item t="default"/>
      </items>
    </pivotField>
    <pivotField showAll="0"/>
    <pivotField showAll="0"/>
    <pivotField showAll="0"/>
    <pivotField axis="axisRow" showAll="0">
      <items count="7">
        <item x="2"/>
        <item x="5"/>
        <item x="0"/>
        <item x="1"/>
        <item x="3"/>
        <item x="4"/>
        <item t="default"/>
      </items>
    </pivotField>
    <pivotField showAll="0"/>
    <pivotField numFmtId="14" showAll="0"/>
    <pivotField numFmtId="1" showAll="0"/>
    <pivotField dataField="1" numFmtId="168" showAll="0"/>
    <pivotField numFmtId="1" showAll="0"/>
    <pivotField showAll="0"/>
    <pivotField numFmtId="9" showAll="0"/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>
      <x v="5"/>
    </i>
  </rowItems>
  <colFields count="1">
    <field x="-2"/>
  </colFields>
  <colItems count="2">
    <i>
      <x/>
    </i>
    <i i="1">
      <x v="1"/>
    </i>
  </colItems>
  <dataFields count="2">
    <dataField name="HeadCount" fld="0" subtotal="count" baseField="4" baseItem="0"/>
    <dataField name="Average Salary" fld="8" subtotal="average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6B9076-85AF-44F4-9A85-F17D0151F005}" name="Table1" displayName="Table1" ref="J1:V151" totalsRowShown="0">
  <autoFilter ref="J1:V151" xr:uid="{D86B9076-85AF-44F4-9A85-F17D0151F005}"/>
  <tableColumns count="13">
    <tableColumn id="1" xr3:uid="{08AF9922-978B-4E5E-B1AD-14907D7F178F}" name="Cleaned EMP ID" dataDxfId="12">
      <calculatedColumnFormula>TRIM(CLEAN(A2))</calculatedColumnFormula>
    </tableColumn>
    <tableColumn id="2" xr3:uid="{8CEE1055-2A2F-4DA0-BEB9-363B105F5B43}" name="Cleaned First_Name" dataDxfId="11">
      <calculatedColumnFormula>TRIM(CLEAN(PROPER(B2)))</calculatedColumnFormula>
    </tableColumn>
    <tableColumn id="3" xr3:uid="{1BACBA2A-31FA-4BFA-AC56-8B690BBBE17A}" name="Cleaned Last_Name" dataDxfId="10">
      <calculatedColumnFormula>TRIM(CLEAN(PROPER(C2)))</calculatedColumnFormula>
    </tableColumn>
    <tableColumn id="4" xr3:uid="{ACDDBD44-DED7-45A0-A91C-C301EA2FC8DF}" name="Full_Name" dataDxfId="9">
      <calculatedColumnFormula>_xlfn.TEXTJOIN(" ",TRUE,K2,L2)</calculatedColumnFormula>
    </tableColumn>
    <tableColumn id="5" xr3:uid="{3ACDA19A-4009-42B7-9CEC-E31BB63C9FF9}" name="Department_Name" dataDxfId="8">
      <calculatedColumnFormula>_xlfn.XLOOKUP(O2,Lookup_Departments!$A$2:$A$7,Lookup_Departments!$B$2:$B$7,"Not Found")</calculatedColumnFormula>
    </tableColumn>
    <tableColumn id="6" xr3:uid="{DE6D60F7-3EDE-4612-8BF2-B0B2DD1F6F08}" name="Cleaned Dept_Code" dataDxfId="7">
      <calculatedColumnFormula>IFERROR(VLOOKUP(D2,Lookup_Departments!$A$2:$B$7,1,FALSE),"Invalid")</calculatedColumnFormula>
    </tableColumn>
    <tableColumn id="7" xr3:uid="{EE50497A-713B-4CF0-BCF5-4B90997B9970}" name="Cleaned Hire_Date" dataDxfId="6">
      <calculatedColumnFormula>IF(ISNUMBER(E2),E2,DATE(RIGHT(E2,4),LEFT(E2,2),MID(E2,4,2)))</calculatedColumnFormula>
    </tableColumn>
    <tableColumn id="8" xr3:uid="{8900855C-479F-492C-8676-F47182C8617C}" name="Year_of_Service" dataDxfId="5">
      <calculatedColumnFormula>DATEDIF(P2,TODAY(),"Y")</calculatedColumnFormula>
    </tableColumn>
    <tableColumn id="9" xr3:uid="{43DEC46E-02F9-4373-ACF7-EB3138F23FB3}" name="Cleaned Salary" dataDxfId="4">
      <calculatedColumnFormula>IF(F2="",AVERAGEIF($D$2:$D$151,D2,$F$2:$F$151),F2)</calculatedColumnFormula>
    </tableColumn>
    <tableColumn id="10" xr3:uid="{ACE85FFC-D2E7-4B83-AEB3-D19D39AD1F76}" name="Cleaned Perf_Score" dataDxfId="3">
      <calculatedColumnFormula>IF(G2="",AVERAGE($G$2:$G$158),G2)</calculatedColumnFormula>
    </tableColumn>
    <tableColumn id="11" xr3:uid="{590E8FC3-346A-46F9-9227-B1111641C818}" name="Performance_Band" dataDxfId="2">
      <calculatedColumnFormula>_xlfn.XLOOKUP(S2,Lookup_Performance!$A$2:$A$6,Lookup_Performance!$C$2:$C$6,"Not Found",-1)</calculatedColumnFormula>
    </tableColumn>
    <tableColumn id="12" xr3:uid="{17C22A28-ACB1-4EA1-8590-550C4CFACB72}" name="Eligible_Bonus_Amount" dataDxfId="1">
      <calculatedColumnFormula>_xlfn.XLOOKUP(S2,Lookup_Performance!$A$2:$A$6,Lookup_Performance!$D$2:$D$6,"Not Found",-1)</calculatedColumnFormula>
    </tableColumn>
    <tableColumn id="13" xr3:uid="{15000AA3-E4C9-4C52-A2F3-4B9F18A74F89}" name="Cleaned Employment_Status" dataDxfId="0">
      <calculatedColumnFormula>TRIM(CLEAN(UPPER(H2)))</calculatedColumnFormula>
    </tableColumn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D2B25-32D9-44F6-8017-10CE3B25D12A}">
  <dimension ref="A2:L11"/>
  <sheetViews>
    <sheetView tabSelected="1" topLeftCell="A2" workbookViewId="0">
      <selection activeCell="L9" sqref="L9"/>
    </sheetView>
  </sheetViews>
  <sheetFormatPr defaultRowHeight="14.5" x14ac:dyDescent="0.35"/>
  <cols>
    <col min="1" max="1" width="43.54296875" bestFit="1" customWidth="1"/>
    <col min="2" max="2" width="10.26953125" bestFit="1" customWidth="1"/>
    <col min="3" max="3" width="13.08984375" bestFit="1" customWidth="1"/>
    <col min="6" max="6" width="20.90625" bestFit="1" customWidth="1"/>
    <col min="7" max="7" width="15.26953125" bestFit="1" customWidth="1"/>
    <col min="8" max="8" width="4.54296875" bestFit="1" customWidth="1"/>
    <col min="9" max="9" width="9.1796875" bestFit="1" customWidth="1"/>
    <col min="10" max="10" width="10.7265625" bestFit="1" customWidth="1"/>
    <col min="11" max="11" width="10.26953125" bestFit="1" customWidth="1"/>
    <col min="12" max="12" width="13.08984375" style="29" bestFit="1" customWidth="1"/>
  </cols>
  <sheetData>
    <row r="2" spans="1:12" ht="15" x14ac:dyDescent="0.35">
      <c r="A2" s="27" t="s">
        <v>283</v>
      </c>
      <c r="G2" s="28" t="s">
        <v>285</v>
      </c>
    </row>
    <row r="3" spans="1:12" x14ac:dyDescent="0.35">
      <c r="A3" s="25" t="s">
        <v>249</v>
      </c>
      <c r="B3" t="s">
        <v>282</v>
      </c>
      <c r="C3" t="s">
        <v>281</v>
      </c>
      <c r="F3" s="25" t="s">
        <v>282</v>
      </c>
      <c r="G3" s="25" t="s">
        <v>284</v>
      </c>
    </row>
    <row r="4" spans="1:12" x14ac:dyDescent="0.35">
      <c r="A4" s="26" t="s">
        <v>252</v>
      </c>
      <c r="B4" s="20">
        <v>17</v>
      </c>
      <c r="C4" s="20">
        <v>87938.5</v>
      </c>
      <c r="F4" s="25" t="s">
        <v>249</v>
      </c>
      <c r="G4" t="s">
        <v>265</v>
      </c>
      <c r="H4" t="s">
        <v>266</v>
      </c>
      <c r="I4" t="s">
        <v>267</v>
      </c>
      <c r="J4" t="s">
        <v>280</v>
      </c>
    </row>
    <row r="5" spans="1:12" x14ac:dyDescent="0.35">
      <c r="A5" s="26" t="s">
        <v>250</v>
      </c>
      <c r="B5" s="20">
        <v>18</v>
      </c>
      <c r="C5" s="20">
        <v>85649.941176470587</v>
      </c>
      <c r="F5" s="26" t="s">
        <v>252</v>
      </c>
      <c r="G5" s="20">
        <v>13</v>
      </c>
      <c r="H5" s="20">
        <v>2</v>
      </c>
      <c r="I5" s="20">
        <v>2</v>
      </c>
      <c r="J5" s="20">
        <v>17</v>
      </c>
    </row>
    <row r="6" spans="1:12" x14ac:dyDescent="0.35">
      <c r="A6" s="26" t="s">
        <v>251</v>
      </c>
      <c r="B6" s="20">
        <v>36</v>
      </c>
      <c r="C6" s="20">
        <v>80014.258064516151</v>
      </c>
      <c r="F6" s="26" t="s">
        <v>250</v>
      </c>
      <c r="G6" s="20">
        <v>16</v>
      </c>
      <c r="H6" s="20">
        <v>1</v>
      </c>
      <c r="I6" s="20">
        <v>1</v>
      </c>
      <c r="J6" s="20">
        <v>18</v>
      </c>
      <c r="L6" s="30" t="s">
        <v>286</v>
      </c>
    </row>
    <row r="7" spans="1:12" x14ac:dyDescent="0.35">
      <c r="A7" s="26" t="s">
        <v>253</v>
      </c>
      <c r="B7" s="20">
        <v>19</v>
      </c>
      <c r="C7" s="20">
        <v>85508.166666666657</v>
      </c>
      <c r="F7" s="26" t="s">
        <v>251</v>
      </c>
      <c r="G7" s="20">
        <v>28</v>
      </c>
      <c r="H7" s="20">
        <v>3</v>
      </c>
      <c r="I7" s="20">
        <v>5</v>
      </c>
      <c r="J7" s="20">
        <v>36</v>
      </c>
      <c r="L7" s="30">
        <f>(GETPIVOTDATA("Cleaned EMP ID",$F$3,"Cleaned Employment_Status","LEFT")+GETPIVOTDATA("Cleaned EMP ID",$F$3,"Cleaned Employment_Status","RESIGNED"))/GETPIVOTDATA("Cleaned EMP ID",$F$3)</f>
        <v>0.22</v>
      </c>
    </row>
    <row r="8" spans="1:12" x14ac:dyDescent="0.35">
      <c r="A8" s="26" t="s">
        <v>255</v>
      </c>
      <c r="B8" s="20">
        <v>29</v>
      </c>
      <c r="C8" s="20">
        <v>79786.666666666657</v>
      </c>
      <c r="F8" s="26" t="s">
        <v>253</v>
      </c>
      <c r="G8" s="20">
        <v>16</v>
      </c>
      <c r="H8" s="20">
        <v>3</v>
      </c>
      <c r="I8" s="20"/>
      <c r="J8" s="20">
        <v>19</v>
      </c>
    </row>
    <row r="9" spans="1:12" x14ac:dyDescent="0.35">
      <c r="A9" s="26" t="s">
        <v>254</v>
      </c>
      <c r="B9" s="20">
        <v>31</v>
      </c>
      <c r="C9" s="20">
        <v>87282.347826086945</v>
      </c>
      <c r="F9" s="26" t="s">
        <v>255</v>
      </c>
      <c r="G9" s="20">
        <v>22</v>
      </c>
      <c r="H9" s="20">
        <v>7</v>
      </c>
      <c r="I9" s="20"/>
      <c r="J9" s="20">
        <v>29</v>
      </c>
    </row>
    <row r="10" spans="1:12" x14ac:dyDescent="0.35">
      <c r="F10" s="26" t="s">
        <v>254</v>
      </c>
      <c r="G10" s="20">
        <v>22</v>
      </c>
      <c r="H10" s="20">
        <v>7</v>
      </c>
      <c r="I10" s="20">
        <v>2</v>
      </c>
      <c r="J10" s="20">
        <v>31</v>
      </c>
    </row>
    <row r="11" spans="1:12" x14ac:dyDescent="0.35">
      <c r="F11" s="26" t="s">
        <v>280</v>
      </c>
      <c r="G11" s="20">
        <v>117</v>
      </c>
      <c r="H11" s="20">
        <v>23</v>
      </c>
      <c r="I11" s="20">
        <v>10</v>
      </c>
      <c r="J11" s="20">
        <v>150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FAF64-CC90-44C1-8412-C55F11F76DC5}">
  <dimension ref="A1:W158"/>
  <sheetViews>
    <sheetView topLeftCell="J2" workbookViewId="0">
      <selection activeCell="J1" sqref="J1:V151"/>
    </sheetView>
  </sheetViews>
  <sheetFormatPr defaultRowHeight="14.5" x14ac:dyDescent="0.35"/>
  <cols>
    <col min="1" max="1" width="7.54296875" style="4" bestFit="1" customWidth="1"/>
    <col min="2" max="2" width="10.36328125" style="6" bestFit="1" customWidth="1"/>
    <col min="3" max="3" width="10.08984375" style="6" bestFit="1" customWidth="1"/>
    <col min="4" max="4" width="9.6328125" style="6" bestFit="1" customWidth="1"/>
    <col min="5" max="5" width="10.453125" style="8" bestFit="1" customWidth="1"/>
    <col min="6" max="6" width="11.08984375" style="10" bestFit="1" customWidth="1"/>
    <col min="7" max="7" width="9.81640625" style="4" bestFit="1" customWidth="1"/>
    <col min="8" max="8" width="17.36328125" style="6" bestFit="1" customWidth="1"/>
    <col min="9" max="9" width="17.36328125" style="6" customWidth="1"/>
    <col min="10" max="10" width="16.08984375" style="4" customWidth="1"/>
    <col min="11" max="11" width="19.54296875" style="6" customWidth="1"/>
    <col min="12" max="12" width="19.26953125" style="6" customWidth="1"/>
    <col min="13" max="13" width="17.7265625" style="22" customWidth="1"/>
    <col min="14" max="14" width="20.90625" style="22" bestFit="1" customWidth="1"/>
    <col min="15" max="15" width="19.36328125" style="4" customWidth="1"/>
    <col min="16" max="16" width="18.453125" style="8" customWidth="1"/>
    <col min="17" max="17" width="16.08984375" style="17" customWidth="1"/>
    <col min="18" max="18" width="15" style="14" customWidth="1"/>
    <col min="19" max="19" width="19" style="17" customWidth="1"/>
    <col min="20" max="20" width="18.90625" style="6" customWidth="1"/>
    <col min="21" max="21" width="22.6328125" style="24" customWidth="1"/>
    <col min="22" max="22" width="26.90625" style="6" customWidth="1"/>
    <col min="23" max="23" width="10.453125" bestFit="1" customWidth="1"/>
  </cols>
  <sheetData>
    <row r="1" spans="1:23" x14ac:dyDescent="0.35">
      <c r="A1" s="3" t="s">
        <v>0</v>
      </c>
      <c r="B1" s="5" t="s">
        <v>1</v>
      </c>
      <c r="C1" s="5" t="s">
        <v>2</v>
      </c>
      <c r="D1" s="5" t="s">
        <v>3</v>
      </c>
      <c r="E1" s="7"/>
      <c r="F1" s="9" t="s">
        <v>5</v>
      </c>
      <c r="G1" s="3" t="s">
        <v>6</v>
      </c>
      <c r="H1" s="5" t="s">
        <v>7</v>
      </c>
      <c r="I1" s="11"/>
      <c r="J1" s="15" t="s">
        <v>269</v>
      </c>
      <c r="K1" s="19" t="s">
        <v>270</v>
      </c>
      <c r="L1" s="19" t="s">
        <v>271</v>
      </c>
      <c r="M1" s="21" t="s">
        <v>277</v>
      </c>
      <c r="N1" s="21" t="s">
        <v>249</v>
      </c>
      <c r="O1" s="15" t="s">
        <v>272</v>
      </c>
      <c r="P1" s="18" t="s">
        <v>273</v>
      </c>
      <c r="Q1" s="16" t="s">
        <v>278</v>
      </c>
      <c r="R1" s="13" t="s">
        <v>274</v>
      </c>
      <c r="S1" s="16" t="s">
        <v>275</v>
      </c>
      <c r="T1" s="19" t="s">
        <v>258</v>
      </c>
      <c r="U1" s="23" t="s">
        <v>279</v>
      </c>
      <c r="V1" s="19" t="s">
        <v>276</v>
      </c>
    </row>
    <row r="2" spans="1:23" x14ac:dyDescent="0.35">
      <c r="A2" s="4" t="s">
        <v>8</v>
      </c>
      <c r="B2" s="6" t="s">
        <v>9</v>
      </c>
      <c r="C2" s="6" t="s">
        <v>10</v>
      </c>
      <c r="D2" s="6" t="s">
        <v>11</v>
      </c>
      <c r="E2" s="8">
        <v>43093</v>
      </c>
      <c r="F2" s="10">
        <v>50361</v>
      </c>
      <c r="G2">
        <v>52</v>
      </c>
      <c r="H2" t="s">
        <v>12</v>
      </c>
      <c r="J2" s="4" t="str">
        <f>TRIM(CLEAN(A2))</f>
        <v>EMP127</v>
      </c>
      <c r="K2" s="6" t="str">
        <f>TRIM(CLEAN(PROPER(B2)))</f>
        <v>Emily</v>
      </c>
      <c r="L2" s="6" t="str">
        <f>TRIM(CLEAN(PROPER(C2)))</f>
        <v>Brown</v>
      </c>
      <c r="M2" s="22" t="str">
        <f>_xlfn.TEXTJOIN(" ",TRUE,K2,L2)</f>
        <v>Emily Brown</v>
      </c>
      <c r="N2" s="22" t="str">
        <f>_xlfn.XLOOKUP(O2,Lookup_Departments!$A$2:$A$7,Lookup_Departments!$B$2:$B$7,"Not Found")</f>
        <v>Information Technology</v>
      </c>
      <c r="O2" s="4" t="str">
        <f>IFERROR(VLOOKUP(D2,Lookup_Departments!$A$2:$B$7,1,FALSE),"Invalid")</f>
        <v>IT02</v>
      </c>
      <c r="P2" s="8">
        <f>IF(ISNUMBER(E2),E2,DATE(RIGHT(E2,4),LEFT(E2,2),MID(E2,4,2)))</f>
        <v>43093</v>
      </c>
      <c r="Q2" s="17">
        <f ca="1">DATEDIF(P2,TODAY(),"Y")</f>
        <v>8</v>
      </c>
      <c r="R2" s="14">
        <f>IF(F2="",AVERAGEIF($D$2:$D$151,D2,$F$2:$F$151),F2)</f>
        <v>50361</v>
      </c>
      <c r="S2" s="17">
        <f>IF(G2="",AVERAGE($G$2:$G$158),G2)</f>
        <v>52</v>
      </c>
      <c r="T2" s="6" t="str">
        <f>_xlfn.XLOOKUP(S2,Lookup_Performance!$A$2:$A$6,Lookup_Performance!$C$2:$C$6,"Not Found",-1)</f>
        <v>Developing</v>
      </c>
      <c r="U2" s="24">
        <f>_xlfn.XLOOKUP(S2,Lookup_Performance!$A$2:$A$6,Lookup_Performance!$D$2:$D$6,"Not Found",-1)</f>
        <v>0.02</v>
      </c>
      <c r="V2" s="6" t="str">
        <f>TRIM(CLEAN(UPPER(H2)))</f>
        <v>ACTIVE</v>
      </c>
      <c r="W2" s="8"/>
    </row>
    <row r="3" spans="1:23" x14ac:dyDescent="0.35">
      <c r="A3" s="4" t="s">
        <v>13</v>
      </c>
      <c r="B3" s="6" t="s">
        <v>14</v>
      </c>
      <c r="C3" s="6" t="s">
        <v>15</v>
      </c>
      <c r="D3" s="6" t="s">
        <v>16</v>
      </c>
      <c r="E3" s="8">
        <v>44659</v>
      </c>
      <c r="F3" s="10">
        <v>112673</v>
      </c>
      <c r="G3"/>
      <c r="H3" t="s">
        <v>17</v>
      </c>
      <c r="J3" s="4" t="str">
        <f>TRIM(CLEAN(A3))</f>
        <v>EMP046</v>
      </c>
      <c r="K3" s="6" t="str">
        <f>TRIM(CLEAN(PROPER(B3)))</f>
        <v>Richard</v>
      </c>
      <c r="L3" s="6" t="str">
        <f>TRIM(CLEAN(PROPER(C3)))</f>
        <v>Hernandez</v>
      </c>
      <c r="M3" s="22" t="str">
        <f t="shared" ref="M3:M66" si="0">_xlfn.TEXTJOIN(" ",TRUE,K3,L3)</f>
        <v>Richard Hernandez</v>
      </c>
      <c r="N3" s="22" t="str">
        <f>_xlfn.XLOOKUP(O3,Lookup_Departments!$A$2:$A$7,Lookup_Departments!$B$2:$B$7,"Not Found")</f>
        <v>Marketing</v>
      </c>
      <c r="O3" s="4" t="str">
        <f>IFERROR(VLOOKUP(D3,Lookup_Departments!$A$2:$B$7,1,FALSE),"Invalid")</f>
        <v>MKT04</v>
      </c>
      <c r="P3" s="8">
        <f t="shared" ref="P3:P66" si="1">IF(ISNUMBER(E3),E3,DATE(RIGHT(E3,4),LEFT(E3,2),MID(E3,4,2)))</f>
        <v>44659</v>
      </c>
      <c r="Q3" s="17">
        <f t="shared" ref="Q3:Q66" ca="1" si="2">DATEDIF(P3,TODAY(),"Y")</f>
        <v>4</v>
      </c>
      <c r="R3" s="14">
        <f>IF(F3="",AVERAGEIF($D$2:$D$151,D3,$F$2:$F$151),F3)</f>
        <v>112673</v>
      </c>
      <c r="S3" s="17">
        <f>IF(G3="",AVERAGE($G$2:$G$158),G3)</f>
        <v>68.219858156028366</v>
      </c>
      <c r="T3" s="6" t="str">
        <f>_xlfn.XLOOKUP(S3,Lookup_Performance!$A$2:$A$6,Lookup_Performance!$C$2:$C$6,"Not Found",-1)</f>
        <v>Developing</v>
      </c>
      <c r="U3" s="24">
        <f>_xlfn.XLOOKUP(S3,Lookup_Performance!$A$2:$A$6,Lookup_Performance!$D$2:$D$6,"Not Found",-1)</f>
        <v>0.02</v>
      </c>
      <c r="V3" s="6" t="str">
        <f>TRIM(CLEAN(UPPER(H3)))</f>
        <v>ACTIVE</v>
      </c>
    </row>
    <row r="4" spans="1:23" x14ac:dyDescent="0.35">
      <c r="A4" s="4" t="s">
        <v>18</v>
      </c>
      <c r="B4" s="6" t="s">
        <v>9</v>
      </c>
      <c r="C4" s="6" t="s">
        <v>19</v>
      </c>
      <c r="D4" s="6" t="s">
        <v>11</v>
      </c>
      <c r="E4" s="8">
        <v>42431</v>
      </c>
      <c r="F4" s="10">
        <v>114425</v>
      </c>
      <c r="G4">
        <v>54</v>
      </c>
      <c r="H4" t="s">
        <v>22</v>
      </c>
      <c r="J4" s="4" t="str">
        <f>TRIM(CLEAN(A4))</f>
        <v>EMP134</v>
      </c>
      <c r="K4" s="6" t="str">
        <f>TRIM(CLEAN(PROPER(B4)))</f>
        <v>Emily</v>
      </c>
      <c r="L4" s="6" t="str">
        <f>TRIM(CLEAN(PROPER(C4)))</f>
        <v>Gonzalez</v>
      </c>
      <c r="M4" s="22" t="str">
        <f t="shared" si="0"/>
        <v>Emily Gonzalez</v>
      </c>
      <c r="N4" s="22" t="str">
        <f>_xlfn.XLOOKUP(O4,Lookup_Departments!$A$2:$A$7,Lookup_Departments!$B$2:$B$7,"Not Found")</f>
        <v>Information Technology</v>
      </c>
      <c r="O4" s="4" t="str">
        <f>IFERROR(VLOOKUP(D4,Lookup_Departments!$A$2:$B$7,1,FALSE),"Invalid")</f>
        <v>IT02</v>
      </c>
      <c r="P4" s="8">
        <f t="shared" si="1"/>
        <v>42431</v>
      </c>
      <c r="Q4" s="17">
        <f t="shared" ca="1" si="2"/>
        <v>10</v>
      </c>
      <c r="R4" s="14">
        <f>IF(F4="",AVERAGEIF($D$2:$D$151,D4,$F$2:$F$151),F4)</f>
        <v>114425</v>
      </c>
      <c r="S4" s="17">
        <f>IF(G4="",AVERAGE($G$2:$G$158),G4)</f>
        <v>54</v>
      </c>
      <c r="T4" s="6" t="str">
        <f>_xlfn.XLOOKUP(S4,Lookup_Performance!$A$2:$A$6,Lookup_Performance!$C$2:$C$6,"Not Found",-1)</f>
        <v>Developing</v>
      </c>
      <c r="U4" s="24">
        <f>_xlfn.XLOOKUP(S4,Lookup_Performance!$A$2:$A$6,Lookup_Performance!$D$2:$D$6,"Not Found",-1)</f>
        <v>0.02</v>
      </c>
      <c r="V4" s="6" t="str">
        <f>TRIM(CLEAN(UPPER(H4)))</f>
        <v>LEFT</v>
      </c>
    </row>
    <row r="5" spans="1:23" x14ac:dyDescent="0.35">
      <c r="A5" s="4" t="s">
        <v>23</v>
      </c>
      <c r="B5" s="6" t="s">
        <v>24</v>
      </c>
      <c r="C5" s="6" t="s">
        <v>25</v>
      </c>
      <c r="D5" s="6" t="s">
        <v>26</v>
      </c>
      <c r="E5" s="8">
        <v>45110</v>
      </c>
      <c r="F5" s="10">
        <v>103831</v>
      </c>
      <c r="G5">
        <v>70</v>
      </c>
      <c r="H5" t="s">
        <v>12</v>
      </c>
      <c r="J5" s="4" t="str">
        <f>TRIM(CLEAN(A5))</f>
        <v>EMP139</v>
      </c>
      <c r="K5" s="6" t="str">
        <f>TRIM(CLEAN(PROPER(B5)))</f>
        <v>John</v>
      </c>
      <c r="L5" s="6" t="str">
        <f>TRIM(CLEAN(PROPER(C5)))</f>
        <v>Martinez</v>
      </c>
      <c r="M5" s="22" t="str">
        <f t="shared" si="0"/>
        <v>John Martinez</v>
      </c>
      <c r="N5" s="22" t="str">
        <f>_xlfn.XLOOKUP(O5,Lookup_Departments!$A$2:$A$7,Lookup_Departments!$B$2:$B$7,"Not Found")</f>
        <v>Finance</v>
      </c>
      <c r="O5" s="4" t="str">
        <f>IFERROR(VLOOKUP(D5,Lookup_Departments!$A$2:$B$7,1,FALSE),"Invalid")</f>
        <v>FIN03</v>
      </c>
      <c r="P5" s="8">
        <f t="shared" si="1"/>
        <v>45110</v>
      </c>
      <c r="Q5" s="17">
        <f t="shared" ca="1" si="2"/>
        <v>3</v>
      </c>
      <c r="R5" s="14">
        <f>IF(F5="",AVERAGEIF($D$2:$D$151,D5,$F$2:$F$151),F5)</f>
        <v>103831</v>
      </c>
      <c r="S5" s="17">
        <f>IF(G5="",AVERAGE($G$2:$G$158),G5)</f>
        <v>70</v>
      </c>
      <c r="T5" s="6" t="str">
        <f>_xlfn.XLOOKUP(S5,Lookup_Performance!$A$2:$A$6,Lookup_Performance!$C$2:$C$6,"Not Found",-1)</f>
        <v>Achieving</v>
      </c>
      <c r="U5" s="24">
        <f>_xlfn.XLOOKUP(S5,Lookup_Performance!$A$2:$A$6,Lookup_Performance!$D$2:$D$6,"Not Found",-1)</f>
        <v>0.05</v>
      </c>
      <c r="V5" s="6" t="str">
        <f>TRIM(CLEAN(UPPER(H5)))</f>
        <v>ACTIVE</v>
      </c>
    </row>
    <row r="6" spans="1:23" x14ac:dyDescent="0.35">
      <c r="A6" s="4" t="s">
        <v>27</v>
      </c>
      <c r="B6" s="6" t="s">
        <v>28</v>
      </c>
      <c r="C6" s="6" t="s">
        <v>29</v>
      </c>
      <c r="D6" s="6" t="s">
        <v>11</v>
      </c>
      <c r="E6" s="8">
        <v>44977</v>
      </c>
      <c r="F6" s="10">
        <v>73785</v>
      </c>
      <c r="G6">
        <v>40</v>
      </c>
      <c r="H6" t="s">
        <v>30</v>
      </c>
      <c r="J6" s="4" t="str">
        <f>TRIM(CLEAN(A6))</f>
        <v>EMP112</v>
      </c>
      <c r="K6" s="6" t="str">
        <f>TRIM(CLEAN(PROPER(B6)))</f>
        <v>Thomas</v>
      </c>
      <c r="L6" s="6" t="str">
        <f>TRIM(CLEAN(PROPER(C6)))</f>
        <v>Smith</v>
      </c>
      <c r="M6" s="22" t="str">
        <f t="shared" si="0"/>
        <v>Thomas Smith</v>
      </c>
      <c r="N6" s="22" t="str">
        <f>_xlfn.XLOOKUP(O6,Lookup_Departments!$A$2:$A$7,Lookup_Departments!$B$2:$B$7,"Not Found")</f>
        <v>Information Technology</v>
      </c>
      <c r="O6" s="4" t="str">
        <f>IFERROR(VLOOKUP(D6,Lookup_Departments!$A$2:$B$7,1,FALSE),"Invalid")</f>
        <v>IT02</v>
      </c>
      <c r="P6" s="8">
        <f t="shared" si="1"/>
        <v>44977</v>
      </c>
      <c r="Q6" s="17">
        <f t="shared" ca="1" si="2"/>
        <v>3</v>
      </c>
      <c r="R6" s="14">
        <f>IF(F6="",AVERAGEIF($D$2:$D$151,D6,$F$2:$F$151),F6)</f>
        <v>73785</v>
      </c>
      <c r="S6" s="17">
        <f>IF(G6="",AVERAGE($G$2:$G$158),G6)</f>
        <v>40</v>
      </c>
      <c r="T6" s="6" t="str">
        <f>_xlfn.XLOOKUP(S6,Lookup_Performance!$A$2:$A$6,Lookup_Performance!$C$2:$C$6,"Not Found",-1)</f>
        <v>Needs Improvement</v>
      </c>
      <c r="U6" s="24">
        <f>_xlfn.XLOOKUP(S6,Lookup_Performance!$A$2:$A$6,Lookup_Performance!$D$2:$D$6,"Not Found",-1)</f>
        <v>0</v>
      </c>
      <c r="V6" s="6" t="str">
        <f>TRIM(CLEAN(UPPER(H6)))</f>
        <v>LEFT</v>
      </c>
    </row>
    <row r="7" spans="1:23" x14ac:dyDescent="0.35">
      <c r="A7" s="4" t="s">
        <v>31</v>
      </c>
      <c r="B7" s="6" t="s">
        <v>9</v>
      </c>
      <c r="C7" s="6" t="s">
        <v>32</v>
      </c>
      <c r="D7" s="6" t="s">
        <v>33</v>
      </c>
      <c r="E7" s="8">
        <v>43892</v>
      </c>
      <c r="F7" s="10">
        <v>115882</v>
      </c>
      <c r="G7">
        <v>49</v>
      </c>
      <c r="H7" t="s">
        <v>17</v>
      </c>
      <c r="J7" s="4" t="str">
        <f>TRIM(CLEAN(A7))</f>
        <v>EMP030</v>
      </c>
      <c r="K7" s="6" t="str">
        <f>TRIM(CLEAN(PROPER(B7)))</f>
        <v>Emily</v>
      </c>
      <c r="L7" s="6" t="str">
        <f>TRIM(CLEAN(PROPER(C7)))</f>
        <v>Johnson</v>
      </c>
      <c r="M7" s="22" t="str">
        <f t="shared" si="0"/>
        <v>Emily Johnson</v>
      </c>
      <c r="N7" s="22" t="str">
        <f>_xlfn.XLOOKUP(O7,Lookup_Departments!$A$2:$A$7,Lookup_Departments!$B$2:$B$7,"Not Found")</f>
        <v>Operations</v>
      </c>
      <c r="O7" s="4" t="str">
        <f>IFERROR(VLOOKUP(D7,Lookup_Departments!$A$2:$B$7,1,FALSE),"Invalid")</f>
        <v>OPS06</v>
      </c>
      <c r="P7" s="8">
        <f t="shared" si="1"/>
        <v>43892</v>
      </c>
      <c r="Q7" s="17">
        <f t="shared" ca="1" si="2"/>
        <v>6</v>
      </c>
      <c r="R7" s="14">
        <f>IF(F7="",AVERAGEIF($D$2:$D$151,D7,$F$2:$F$151),F7)</f>
        <v>115882</v>
      </c>
      <c r="S7" s="17">
        <f>IF(G7="",AVERAGE($G$2:$G$158),G7)</f>
        <v>49</v>
      </c>
      <c r="T7" s="6" t="str">
        <f>_xlfn.XLOOKUP(S7,Lookup_Performance!$A$2:$A$6,Lookup_Performance!$C$2:$C$6,"Not Found",-1)</f>
        <v>Needs Improvement</v>
      </c>
      <c r="U7" s="24">
        <f>_xlfn.XLOOKUP(S7,Lookup_Performance!$A$2:$A$6,Lookup_Performance!$D$2:$D$6,"Not Found",-1)</f>
        <v>0</v>
      </c>
      <c r="V7" s="6" t="str">
        <f>TRIM(CLEAN(UPPER(H7)))</f>
        <v>ACTIVE</v>
      </c>
    </row>
    <row r="8" spans="1:23" x14ac:dyDescent="0.35">
      <c r="A8" s="4" t="s">
        <v>34</v>
      </c>
      <c r="B8" s="6" t="s">
        <v>24</v>
      </c>
      <c r="C8" s="6" t="s">
        <v>35</v>
      </c>
      <c r="D8" s="6" t="s">
        <v>33</v>
      </c>
      <c r="E8" s="8">
        <v>45272</v>
      </c>
      <c r="F8" s="10">
        <v>59980</v>
      </c>
      <c r="G8">
        <v>70</v>
      </c>
      <c r="H8" t="s">
        <v>30</v>
      </c>
      <c r="J8" s="4" t="str">
        <f>TRIM(CLEAN(A8))</f>
        <v>EMP096</v>
      </c>
      <c r="K8" s="6" t="str">
        <f>TRIM(CLEAN(PROPER(B8)))</f>
        <v>John</v>
      </c>
      <c r="L8" s="6" t="str">
        <f>TRIM(CLEAN(PROPER(C8)))</f>
        <v>Wilson</v>
      </c>
      <c r="M8" s="22" t="str">
        <f t="shared" si="0"/>
        <v>John Wilson</v>
      </c>
      <c r="N8" s="22" t="str">
        <f>_xlfn.XLOOKUP(O8,Lookup_Departments!$A$2:$A$7,Lookup_Departments!$B$2:$B$7,"Not Found")</f>
        <v>Operations</v>
      </c>
      <c r="O8" s="4" t="str">
        <f>IFERROR(VLOOKUP(D8,Lookup_Departments!$A$2:$B$7,1,FALSE),"Invalid")</f>
        <v>OPS06</v>
      </c>
      <c r="P8" s="8">
        <f t="shared" si="1"/>
        <v>45272</v>
      </c>
      <c r="Q8" s="17">
        <f t="shared" ca="1" si="2"/>
        <v>2</v>
      </c>
      <c r="R8" s="14">
        <f>IF(F8="",AVERAGEIF($D$2:$D$151,D8,$F$2:$F$151),F8)</f>
        <v>59980</v>
      </c>
      <c r="S8" s="17">
        <f>IF(G8="",AVERAGE($G$2:$G$158),G8)</f>
        <v>70</v>
      </c>
      <c r="T8" s="6" t="str">
        <f>_xlfn.XLOOKUP(S8,Lookup_Performance!$A$2:$A$6,Lookup_Performance!$C$2:$C$6,"Not Found",-1)</f>
        <v>Achieving</v>
      </c>
      <c r="U8" s="24">
        <f>_xlfn.XLOOKUP(S8,Lookup_Performance!$A$2:$A$6,Lookup_Performance!$D$2:$D$6,"Not Found",-1)</f>
        <v>0.05</v>
      </c>
      <c r="V8" s="6" t="str">
        <f>TRIM(CLEAN(UPPER(H8)))</f>
        <v>LEFT</v>
      </c>
    </row>
    <row r="9" spans="1:23" x14ac:dyDescent="0.35">
      <c r="A9" s="4" t="s">
        <v>37</v>
      </c>
      <c r="B9" s="6" t="s">
        <v>38</v>
      </c>
      <c r="C9" s="6" t="s">
        <v>29</v>
      </c>
      <c r="D9" s="6" t="s">
        <v>33</v>
      </c>
      <c r="E9" s="8">
        <v>44174</v>
      </c>
      <c r="F9" s="10">
        <v>68728</v>
      </c>
      <c r="G9">
        <v>45</v>
      </c>
      <c r="H9" t="s">
        <v>17</v>
      </c>
      <c r="J9" s="4" t="str">
        <f>TRIM(CLEAN(A9))</f>
        <v>EMP098</v>
      </c>
      <c r="K9" s="6" t="str">
        <f>TRIM(CLEAN(PROPER(B9)))</f>
        <v>Jessica</v>
      </c>
      <c r="L9" s="6" t="str">
        <f>TRIM(CLEAN(PROPER(C9)))</f>
        <v>Smith</v>
      </c>
      <c r="M9" s="22" t="str">
        <f t="shared" si="0"/>
        <v>Jessica Smith</v>
      </c>
      <c r="N9" s="22" t="str">
        <f>_xlfn.XLOOKUP(O9,Lookup_Departments!$A$2:$A$7,Lookup_Departments!$B$2:$B$7,"Not Found")</f>
        <v>Operations</v>
      </c>
      <c r="O9" s="4" t="str">
        <f>IFERROR(VLOOKUP(D9,Lookup_Departments!$A$2:$B$7,1,FALSE),"Invalid")</f>
        <v>OPS06</v>
      </c>
      <c r="P9" s="8">
        <f t="shared" si="1"/>
        <v>44174</v>
      </c>
      <c r="Q9" s="17">
        <f t="shared" ca="1" si="2"/>
        <v>5</v>
      </c>
      <c r="R9" s="14">
        <f>IF(F9="",AVERAGEIF($D$2:$D$151,D9,$F$2:$F$151),F9)</f>
        <v>68728</v>
      </c>
      <c r="S9" s="17">
        <f>IF(G9="",AVERAGE($G$2:$G$158),G9)</f>
        <v>45</v>
      </c>
      <c r="T9" s="6" t="str">
        <f>_xlfn.XLOOKUP(S9,Lookup_Performance!$A$2:$A$6,Lookup_Performance!$C$2:$C$6,"Not Found",-1)</f>
        <v>Needs Improvement</v>
      </c>
      <c r="U9" s="24">
        <f>_xlfn.XLOOKUP(S9,Lookup_Performance!$A$2:$A$6,Lookup_Performance!$D$2:$D$6,"Not Found",-1)</f>
        <v>0</v>
      </c>
      <c r="V9" s="6" t="str">
        <f>TRIM(CLEAN(UPPER(H9)))</f>
        <v>ACTIVE</v>
      </c>
    </row>
    <row r="10" spans="1:23" x14ac:dyDescent="0.35">
      <c r="A10" s="4" t="s">
        <v>39</v>
      </c>
      <c r="B10" s="6" t="s">
        <v>268</v>
      </c>
      <c r="C10" s="6" t="s">
        <v>40</v>
      </c>
      <c r="D10" s="6" t="s">
        <v>26</v>
      </c>
      <c r="E10" s="8">
        <v>43107</v>
      </c>
      <c r="F10" s="10">
        <v>102139</v>
      </c>
      <c r="G10">
        <v>79</v>
      </c>
      <c r="H10" t="s">
        <v>12</v>
      </c>
      <c r="J10" s="4" t="str">
        <f>TRIM(CLEAN(A10))</f>
        <v>EMP095</v>
      </c>
      <c r="K10" s="6" t="str">
        <f>TRIM(CLEAN(PROPER(B10)))</f>
        <v>Unknown</v>
      </c>
      <c r="L10" s="6" t="str">
        <f>TRIM(CLEAN(PROPER(C10)))</f>
        <v>Rodriguez</v>
      </c>
      <c r="M10" s="22" t="str">
        <f t="shared" si="0"/>
        <v>Unknown Rodriguez</v>
      </c>
      <c r="N10" s="22" t="str">
        <f>_xlfn.XLOOKUP(O10,Lookup_Departments!$A$2:$A$7,Lookup_Departments!$B$2:$B$7,"Not Found")</f>
        <v>Finance</v>
      </c>
      <c r="O10" s="4" t="str">
        <f>IFERROR(VLOOKUP(D10,Lookup_Departments!$A$2:$B$7,1,FALSE),"Invalid")</f>
        <v>FIN03</v>
      </c>
      <c r="P10" s="8">
        <f t="shared" si="1"/>
        <v>43107</v>
      </c>
      <c r="Q10" s="17">
        <f t="shared" ca="1" si="2"/>
        <v>8</v>
      </c>
      <c r="R10" s="14">
        <f>IF(F10="",AVERAGEIF($D$2:$D$151,D10,$F$2:$F$151),F10)</f>
        <v>102139</v>
      </c>
      <c r="S10" s="17">
        <f>IF(G10="",AVERAGE($G$2:$G$158),G10)</f>
        <v>79</v>
      </c>
      <c r="T10" s="6" t="str">
        <f>_xlfn.XLOOKUP(S10,Lookup_Performance!$A$2:$A$6,Lookup_Performance!$C$2:$C$6,"Not Found",-1)</f>
        <v>Achieving</v>
      </c>
      <c r="U10" s="24">
        <f>_xlfn.XLOOKUP(S10,Lookup_Performance!$A$2:$A$6,Lookup_Performance!$D$2:$D$6,"Not Found",-1)</f>
        <v>0.05</v>
      </c>
      <c r="V10" s="6" t="str">
        <f>TRIM(CLEAN(UPPER(H10)))</f>
        <v>ACTIVE</v>
      </c>
    </row>
    <row r="11" spans="1:23" x14ac:dyDescent="0.35">
      <c r="A11" s="4" t="s">
        <v>41</v>
      </c>
      <c r="B11" s="6" t="s">
        <v>42</v>
      </c>
      <c r="C11" s="6" t="s">
        <v>25</v>
      </c>
      <c r="D11" s="6" t="s">
        <v>43</v>
      </c>
      <c r="E11" s="8">
        <v>42676</v>
      </c>
      <c r="F11" s="10">
        <v>94998</v>
      </c>
      <c r="G11">
        <v>58</v>
      </c>
      <c r="H11" t="s">
        <v>44</v>
      </c>
      <c r="J11" s="4" t="str">
        <f>TRIM(CLEAN(A11))</f>
        <v>EMP140</v>
      </c>
      <c r="K11" s="6" t="str">
        <f>TRIM(CLEAN(PROPER(B11)))</f>
        <v>Michael</v>
      </c>
      <c r="L11" s="6" t="str">
        <f>TRIM(CLEAN(PROPER(C11)))</f>
        <v>Martinez</v>
      </c>
      <c r="M11" s="22" t="str">
        <f t="shared" si="0"/>
        <v>Michael Martinez</v>
      </c>
      <c r="N11" s="22" t="str">
        <f>_xlfn.XLOOKUP(O11,Lookup_Departments!$A$2:$A$7,Lookup_Departments!$B$2:$B$7,"Not Found")</f>
        <v>Sales</v>
      </c>
      <c r="O11" s="4" t="str">
        <f>IFERROR(VLOOKUP(D11,Lookup_Departments!$A$2:$B$7,1,FALSE),"Invalid")</f>
        <v>SAL05</v>
      </c>
      <c r="P11" s="8">
        <f t="shared" si="1"/>
        <v>42676</v>
      </c>
      <c r="Q11" s="17">
        <f t="shared" ca="1" si="2"/>
        <v>9</v>
      </c>
      <c r="R11" s="14">
        <f>IF(F11="",AVERAGEIF($D$2:$D$151,D11,$F$2:$F$151),F11)</f>
        <v>94998</v>
      </c>
      <c r="S11" s="17">
        <f>IF(G11="",AVERAGE($G$2:$G$158),G11)</f>
        <v>58</v>
      </c>
      <c r="T11" s="6" t="str">
        <f>_xlfn.XLOOKUP(S11,Lookup_Performance!$A$2:$A$6,Lookup_Performance!$C$2:$C$6,"Not Found",-1)</f>
        <v>Developing</v>
      </c>
      <c r="U11" s="24">
        <f>_xlfn.XLOOKUP(S11,Lookup_Performance!$A$2:$A$6,Lookup_Performance!$D$2:$D$6,"Not Found",-1)</f>
        <v>0.02</v>
      </c>
      <c r="V11" s="6" t="str">
        <f>TRIM(CLEAN(UPPER(H11)))</f>
        <v>ACTIVE</v>
      </c>
    </row>
    <row r="12" spans="1:23" x14ac:dyDescent="0.35">
      <c r="A12" s="4" t="s">
        <v>45</v>
      </c>
      <c r="B12" s="6" t="s">
        <v>9</v>
      </c>
      <c r="C12" s="6" t="s">
        <v>46</v>
      </c>
      <c r="D12" s="6" t="s">
        <v>43</v>
      </c>
      <c r="E12" s="8">
        <v>43911</v>
      </c>
      <c r="F12" s="10">
        <v>118635</v>
      </c>
      <c r="G12">
        <v>49</v>
      </c>
      <c r="H12" t="s">
        <v>44</v>
      </c>
      <c r="J12" s="4" t="str">
        <f>TRIM(CLEAN(A12))</f>
        <v>EMP020</v>
      </c>
      <c r="K12" s="6" t="str">
        <f>TRIM(CLEAN(PROPER(B12)))</f>
        <v>Emily</v>
      </c>
      <c r="L12" s="6" t="str">
        <f>TRIM(CLEAN(PROPER(C12)))</f>
        <v>Miller</v>
      </c>
      <c r="M12" s="22" t="str">
        <f t="shared" si="0"/>
        <v>Emily Miller</v>
      </c>
      <c r="N12" s="22" t="str">
        <f>_xlfn.XLOOKUP(O12,Lookup_Departments!$A$2:$A$7,Lookup_Departments!$B$2:$B$7,"Not Found")</f>
        <v>Sales</v>
      </c>
      <c r="O12" s="4" t="str">
        <f>IFERROR(VLOOKUP(D12,Lookup_Departments!$A$2:$B$7,1,FALSE),"Invalid")</f>
        <v>SAL05</v>
      </c>
      <c r="P12" s="8">
        <f t="shared" si="1"/>
        <v>43911</v>
      </c>
      <c r="Q12" s="17">
        <f t="shared" ca="1" si="2"/>
        <v>6</v>
      </c>
      <c r="R12" s="14">
        <f>IF(F12="",AVERAGEIF($D$2:$D$151,D12,$F$2:$F$151),F12)</f>
        <v>118635</v>
      </c>
      <c r="S12" s="17">
        <f>IF(G12="",AVERAGE($G$2:$G$158),G12)</f>
        <v>49</v>
      </c>
      <c r="T12" s="6" t="str">
        <f>_xlfn.XLOOKUP(S12,Lookup_Performance!$A$2:$A$6,Lookup_Performance!$C$2:$C$6,"Not Found",-1)</f>
        <v>Needs Improvement</v>
      </c>
      <c r="U12" s="24">
        <f>_xlfn.XLOOKUP(S12,Lookup_Performance!$A$2:$A$6,Lookup_Performance!$D$2:$D$6,"Not Found",-1)</f>
        <v>0</v>
      </c>
      <c r="V12" s="6" t="str">
        <f>TRIM(CLEAN(UPPER(H12)))</f>
        <v>ACTIVE</v>
      </c>
    </row>
    <row r="13" spans="1:23" x14ac:dyDescent="0.35">
      <c r="A13" s="4" t="s">
        <v>49</v>
      </c>
      <c r="B13" s="6" t="s">
        <v>9</v>
      </c>
      <c r="C13" s="6" t="s">
        <v>15</v>
      </c>
      <c r="D13" s="6" t="s">
        <v>11</v>
      </c>
      <c r="E13" s="8">
        <v>42425</v>
      </c>
      <c r="F13" s="10">
        <v>76918</v>
      </c>
      <c r="G13">
        <v>62</v>
      </c>
      <c r="H13" t="s">
        <v>265</v>
      </c>
      <c r="J13" s="4" t="str">
        <f>TRIM(CLEAN(A13))</f>
        <v>EMP057</v>
      </c>
      <c r="K13" s="6" t="str">
        <f>TRIM(CLEAN(PROPER(B13)))</f>
        <v>Emily</v>
      </c>
      <c r="L13" s="6" t="str">
        <f>TRIM(CLEAN(PROPER(C13)))</f>
        <v>Hernandez</v>
      </c>
      <c r="M13" s="22" t="str">
        <f t="shared" si="0"/>
        <v>Emily Hernandez</v>
      </c>
      <c r="N13" s="22" t="str">
        <f>_xlfn.XLOOKUP(O13,Lookup_Departments!$A$2:$A$7,Lookup_Departments!$B$2:$B$7,"Not Found")</f>
        <v>Information Technology</v>
      </c>
      <c r="O13" s="4" t="str">
        <f>IFERROR(VLOOKUP(D13,Lookup_Departments!$A$2:$B$7,1,FALSE),"Invalid")</f>
        <v>IT02</v>
      </c>
      <c r="P13" s="8">
        <f t="shared" si="1"/>
        <v>42425</v>
      </c>
      <c r="Q13" s="17">
        <f t="shared" ca="1" si="2"/>
        <v>10</v>
      </c>
      <c r="R13" s="14">
        <f>IF(F13="",AVERAGEIF($D$2:$D$151,D13,$F$2:$F$151),F13)</f>
        <v>76918</v>
      </c>
      <c r="S13" s="17">
        <f>IF(G13="",AVERAGE($G$2:$G$158),G13)</f>
        <v>62</v>
      </c>
      <c r="T13" s="6" t="str">
        <f>_xlfn.XLOOKUP(S13,Lookup_Performance!$A$2:$A$6,Lookup_Performance!$C$2:$C$6,"Not Found",-1)</f>
        <v>Developing</v>
      </c>
      <c r="U13" s="24">
        <f>_xlfn.XLOOKUP(S13,Lookup_Performance!$A$2:$A$6,Lookup_Performance!$D$2:$D$6,"Not Found",-1)</f>
        <v>0.02</v>
      </c>
      <c r="V13" s="6" t="str">
        <f>TRIM(CLEAN(UPPER(H13)))</f>
        <v>ACTIVE</v>
      </c>
    </row>
    <row r="14" spans="1:23" x14ac:dyDescent="0.35">
      <c r="A14" s="4" t="s">
        <v>51</v>
      </c>
      <c r="B14" s="6" t="s">
        <v>52</v>
      </c>
      <c r="C14" s="6" t="s">
        <v>53</v>
      </c>
      <c r="D14" s="6" t="s">
        <v>16</v>
      </c>
      <c r="E14" s="8">
        <v>44364</v>
      </c>
      <c r="F14" s="10">
        <v>61408</v>
      </c>
      <c r="G14">
        <v>48</v>
      </c>
      <c r="H14" t="s">
        <v>17</v>
      </c>
      <c r="J14" s="4" t="str">
        <f>TRIM(CLEAN(A14))</f>
        <v>EMP016</v>
      </c>
      <c r="K14" s="6" t="str">
        <f>TRIM(CLEAN(PROPER(B14)))</f>
        <v>Jane</v>
      </c>
      <c r="L14" s="6" t="str">
        <f>TRIM(CLEAN(PROPER(C14)))</f>
        <v>Williams</v>
      </c>
      <c r="M14" s="22" t="str">
        <f t="shared" si="0"/>
        <v>Jane Williams</v>
      </c>
      <c r="N14" s="22" t="str">
        <f>_xlfn.XLOOKUP(O14,Lookup_Departments!$A$2:$A$7,Lookup_Departments!$B$2:$B$7,"Not Found")</f>
        <v>Marketing</v>
      </c>
      <c r="O14" s="4" t="str">
        <f>IFERROR(VLOOKUP(D14,Lookup_Departments!$A$2:$B$7,1,FALSE),"Invalid")</f>
        <v>MKT04</v>
      </c>
      <c r="P14" s="8">
        <f t="shared" si="1"/>
        <v>44364</v>
      </c>
      <c r="Q14" s="17">
        <f t="shared" ca="1" si="2"/>
        <v>5</v>
      </c>
      <c r="R14" s="14">
        <f>IF(F14="",AVERAGEIF($D$2:$D$151,D14,$F$2:$F$151),F14)</f>
        <v>61408</v>
      </c>
      <c r="S14" s="17">
        <f>IF(G14="",AVERAGE($G$2:$G$158),G14)</f>
        <v>48</v>
      </c>
      <c r="T14" s="6" t="str">
        <f>_xlfn.XLOOKUP(S14,Lookup_Performance!$A$2:$A$6,Lookup_Performance!$C$2:$C$6,"Not Found",-1)</f>
        <v>Needs Improvement</v>
      </c>
      <c r="U14" s="24">
        <f>_xlfn.XLOOKUP(S14,Lookup_Performance!$A$2:$A$6,Lookup_Performance!$D$2:$D$6,"Not Found",-1)</f>
        <v>0</v>
      </c>
      <c r="V14" s="6" t="str">
        <f>TRIM(CLEAN(UPPER(H14)))</f>
        <v>ACTIVE</v>
      </c>
    </row>
    <row r="15" spans="1:23" x14ac:dyDescent="0.35">
      <c r="A15" s="4" t="s">
        <v>55</v>
      </c>
      <c r="B15" s="6" t="s">
        <v>52</v>
      </c>
      <c r="C15" s="6" t="s">
        <v>46</v>
      </c>
      <c r="D15" s="6" t="s">
        <v>16</v>
      </c>
      <c r="E15" s="8">
        <v>44001</v>
      </c>
      <c r="F15" s="10">
        <v>99990</v>
      </c>
      <c r="G15">
        <v>54</v>
      </c>
      <c r="H15" t="s">
        <v>265</v>
      </c>
      <c r="J15" s="4" t="str">
        <f>TRIM(CLEAN(A15))</f>
        <v>EMP070</v>
      </c>
      <c r="K15" s="6" t="str">
        <f>TRIM(CLEAN(PROPER(B15)))</f>
        <v>Jane</v>
      </c>
      <c r="L15" s="6" t="str">
        <f>TRIM(CLEAN(PROPER(C15)))</f>
        <v>Miller</v>
      </c>
      <c r="M15" s="22" t="str">
        <f t="shared" si="0"/>
        <v>Jane Miller</v>
      </c>
      <c r="N15" s="22" t="str">
        <f>_xlfn.XLOOKUP(O15,Lookup_Departments!$A$2:$A$7,Lookup_Departments!$B$2:$B$7,"Not Found")</f>
        <v>Marketing</v>
      </c>
      <c r="O15" s="4" t="str">
        <f>IFERROR(VLOOKUP(D15,Lookup_Departments!$A$2:$B$7,1,FALSE),"Invalid")</f>
        <v>MKT04</v>
      </c>
      <c r="P15" s="8">
        <f t="shared" si="1"/>
        <v>44001</v>
      </c>
      <c r="Q15" s="17">
        <f t="shared" ca="1" si="2"/>
        <v>6</v>
      </c>
      <c r="R15" s="14">
        <f>IF(F15="",AVERAGEIF($D$2:$D$151,D15,$F$2:$F$151),F15)</f>
        <v>99990</v>
      </c>
      <c r="S15" s="17">
        <f>IF(G15="",AVERAGE($G$2:$G$158),G15)</f>
        <v>54</v>
      </c>
      <c r="T15" s="6" t="str">
        <f>_xlfn.XLOOKUP(S15,Lookup_Performance!$A$2:$A$6,Lookup_Performance!$C$2:$C$6,"Not Found",-1)</f>
        <v>Developing</v>
      </c>
      <c r="U15" s="24">
        <f>_xlfn.XLOOKUP(S15,Lookup_Performance!$A$2:$A$6,Lookup_Performance!$D$2:$D$6,"Not Found",-1)</f>
        <v>0.02</v>
      </c>
      <c r="V15" s="6" t="str">
        <f>TRIM(CLEAN(UPPER(H15)))</f>
        <v>ACTIVE</v>
      </c>
    </row>
    <row r="16" spans="1:23" x14ac:dyDescent="0.35">
      <c r="A16" s="4" t="s">
        <v>56</v>
      </c>
      <c r="B16" s="6" t="s">
        <v>57</v>
      </c>
      <c r="C16" s="6" t="s">
        <v>58</v>
      </c>
      <c r="D16" s="6" t="s">
        <v>16</v>
      </c>
      <c r="E16" s="8">
        <v>43820</v>
      </c>
      <c r="F16" s="10">
        <v>80385</v>
      </c>
      <c r="G16"/>
      <c r="H16" t="s">
        <v>12</v>
      </c>
      <c r="J16" s="4" t="str">
        <f>TRIM(CLEAN(A16))</f>
        <v>EMP025</v>
      </c>
      <c r="K16" s="6" t="str">
        <f>TRIM(CLEAN(PROPER(B16)))</f>
        <v>Robert</v>
      </c>
      <c r="L16" s="6" t="str">
        <f>TRIM(CLEAN(PROPER(C16)))</f>
        <v>Jones</v>
      </c>
      <c r="M16" s="22" t="str">
        <f t="shared" si="0"/>
        <v>Robert Jones</v>
      </c>
      <c r="N16" s="22" t="str">
        <f>_xlfn.XLOOKUP(O16,Lookup_Departments!$A$2:$A$7,Lookup_Departments!$B$2:$B$7,"Not Found")</f>
        <v>Marketing</v>
      </c>
      <c r="O16" s="4" t="str">
        <f>IFERROR(VLOOKUP(D16,Lookup_Departments!$A$2:$B$7,1,FALSE),"Invalid")</f>
        <v>MKT04</v>
      </c>
      <c r="P16" s="8">
        <f t="shared" si="1"/>
        <v>43820</v>
      </c>
      <c r="Q16" s="17">
        <f t="shared" ca="1" si="2"/>
        <v>6</v>
      </c>
      <c r="R16" s="14">
        <f>IF(F16="",AVERAGEIF($D$2:$D$151,D16,$F$2:$F$151),F16)</f>
        <v>80385</v>
      </c>
      <c r="S16" s="17">
        <f>IF(G16="",AVERAGE($G$2:$G$158),G16)</f>
        <v>68.219858156028366</v>
      </c>
      <c r="T16" s="6" t="str">
        <f>_xlfn.XLOOKUP(S16,Lookup_Performance!$A$2:$A$6,Lookup_Performance!$C$2:$C$6,"Not Found",-1)</f>
        <v>Developing</v>
      </c>
      <c r="U16" s="24">
        <f>_xlfn.XLOOKUP(S16,Lookup_Performance!$A$2:$A$6,Lookup_Performance!$D$2:$D$6,"Not Found",-1)</f>
        <v>0.02</v>
      </c>
      <c r="V16" s="6" t="str">
        <f>TRIM(CLEAN(UPPER(H16)))</f>
        <v>ACTIVE</v>
      </c>
    </row>
    <row r="17" spans="1:22" x14ac:dyDescent="0.35">
      <c r="A17" s="4" t="s">
        <v>60</v>
      </c>
      <c r="B17" s="6" t="s">
        <v>28</v>
      </c>
      <c r="C17" s="6" t="s">
        <v>40</v>
      </c>
      <c r="D17" s="6" t="s">
        <v>43</v>
      </c>
      <c r="E17" s="8">
        <v>45169</v>
      </c>
      <c r="F17" s="10">
        <v>65290</v>
      </c>
      <c r="G17">
        <v>77</v>
      </c>
      <c r="H17" t="s">
        <v>12</v>
      </c>
      <c r="J17" s="4" t="str">
        <f>TRIM(CLEAN(A17))</f>
        <v>EMP031</v>
      </c>
      <c r="K17" s="6" t="str">
        <f>TRIM(CLEAN(PROPER(B17)))</f>
        <v>Thomas</v>
      </c>
      <c r="L17" s="6" t="str">
        <f>TRIM(CLEAN(PROPER(C17)))</f>
        <v>Rodriguez</v>
      </c>
      <c r="M17" s="22" t="str">
        <f t="shared" si="0"/>
        <v>Thomas Rodriguez</v>
      </c>
      <c r="N17" s="22" t="str">
        <f>_xlfn.XLOOKUP(O17,Lookup_Departments!$A$2:$A$7,Lookup_Departments!$B$2:$B$7,"Not Found")</f>
        <v>Sales</v>
      </c>
      <c r="O17" s="4" t="str">
        <f>IFERROR(VLOOKUP(D17,Lookup_Departments!$A$2:$B$7,1,FALSE),"Invalid")</f>
        <v>SAL05</v>
      </c>
      <c r="P17" s="8">
        <f t="shared" si="1"/>
        <v>45169</v>
      </c>
      <c r="Q17" s="17">
        <f t="shared" ca="1" si="2"/>
        <v>2</v>
      </c>
      <c r="R17" s="14">
        <f>IF(F17="",AVERAGEIF($D$2:$D$151,D17,$F$2:$F$151),F17)</f>
        <v>65290</v>
      </c>
      <c r="S17" s="17">
        <f>IF(G17="",AVERAGE($G$2:$G$158),G17)</f>
        <v>77</v>
      </c>
      <c r="T17" s="6" t="str">
        <f>_xlfn.XLOOKUP(S17,Lookup_Performance!$A$2:$A$6,Lookup_Performance!$C$2:$C$6,"Not Found",-1)</f>
        <v>Achieving</v>
      </c>
      <c r="U17" s="24">
        <f>_xlfn.XLOOKUP(S17,Lookup_Performance!$A$2:$A$6,Lookup_Performance!$D$2:$D$6,"Not Found",-1)</f>
        <v>0.05</v>
      </c>
      <c r="V17" s="6" t="str">
        <f>TRIM(CLEAN(UPPER(H17)))</f>
        <v>ACTIVE</v>
      </c>
    </row>
    <row r="18" spans="1:22" x14ac:dyDescent="0.35">
      <c r="A18" s="4" t="s">
        <v>61</v>
      </c>
      <c r="B18" s="6" t="s">
        <v>9</v>
      </c>
      <c r="C18" s="6" t="s">
        <v>62</v>
      </c>
      <c r="D18" s="6" t="s">
        <v>11</v>
      </c>
      <c r="E18" s="8">
        <v>42337</v>
      </c>
      <c r="F18" s="10">
        <v>105765</v>
      </c>
      <c r="G18">
        <v>42</v>
      </c>
      <c r="H18" t="s">
        <v>44</v>
      </c>
      <c r="J18" s="4" t="str">
        <f>TRIM(CLEAN(A18))</f>
        <v>EMP126</v>
      </c>
      <c r="K18" s="6" t="str">
        <f>TRIM(CLEAN(PROPER(B18)))</f>
        <v>Emily</v>
      </c>
      <c r="L18" s="6" t="str">
        <f>TRIM(CLEAN(PROPER(C18)))</f>
        <v>Davis</v>
      </c>
      <c r="M18" s="22" t="str">
        <f t="shared" si="0"/>
        <v>Emily Davis</v>
      </c>
      <c r="N18" s="22" t="str">
        <f>_xlfn.XLOOKUP(O18,Lookup_Departments!$A$2:$A$7,Lookup_Departments!$B$2:$B$7,"Not Found")</f>
        <v>Information Technology</v>
      </c>
      <c r="O18" s="4" t="str">
        <f>IFERROR(VLOOKUP(D18,Lookup_Departments!$A$2:$B$7,1,FALSE),"Invalid")</f>
        <v>IT02</v>
      </c>
      <c r="P18" s="8">
        <f t="shared" si="1"/>
        <v>42337</v>
      </c>
      <c r="Q18" s="17">
        <f t="shared" ca="1" si="2"/>
        <v>10</v>
      </c>
      <c r="R18" s="14">
        <f>IF(F18="",AVERAGEIF($D$2:$D$151,D18,$F$2:$F$151),F18)</f>
        <v>105765</v>
      </c>
      <c r="S18" s="17">
        <f>IF(G18="",AVERAGE($G$2:$G$158),G18)</f>
        <v>42</v>
      </c>
      <c r="T18" s="6" t="str">
        <f>_xlfn.XLOOKUP(S18,Lookup_Performance!$A$2:$A$6,Lookup_Performance!$C$2:$C$6,"Not Found",-1)</f>
        <v>Needs Improvement</v>
      </c>
      <c r="U18" s="24">
        <f>_xlfn.XLOOKUP(S18,Lookup_Performance!$A$2:$A$6,Lookup_Performance!$D$2:$D$6,"Not Found",-1)</f>
        <v>0</v>
      </c>
      <c r="V18" s="6" t="str">
        <f>TRIM(CLEAN(UPPER(H18)))</f>
        <v>ACTIVE</v>
      </c>
    </row>
    <row r="19" spans="1:22" x14ac:dyDescent="0.35">
      <c r="A19" s="4" t="s">
        <v>63</v>
      </c>
      <c r="B19" s="6" t="s">
        <v>64</v>
      </c>
      <c r="C19" s="6" t="s">
        <v>25</v>
      </c>
      <c r="D19" s="6" t="s">
        <v>43</v>
      </c>
      <c r="E19" s="8">
        <v>42899</v>
      </c>
      <c r="F19" s="10">
        <v>102921</v>
      </c>
      <c r="G19">
        <v>49</v>
      </c>
      <c r="H19" t="s">
        <v>17</v>
      </c>
      <c r="J19" s="4" t="str">
        <f>TRIM(CLEAN(A19))</f>
        <v>EMP109</v>
      </c>
      <c r="K19" s="6" t="str">
        <f>TRIM(CLEAN(PROPER(B19)))</f>
        <v>James</v>
      </c>
      <c r="L19" s="6" t="str">
        <f>TRIM(CLEAN(PROPER(C19)))</f>
        <v>Martinez</v>
      </c>
      <c r="M19" s="22" t="str">
        <f t="shared" si="0"/>
        <v>James Martinez</v>
      </c>
      <c r="N19" s="22" t="str">
        <f>_xlfn.XLOOKUP(O19,Lookup_Departments!$A$2:$A$7,Lookup_Departments!$B$2:$B$7,"Not Found")</f>
        <v>Sales</v>
      </c>
      <c r="O19" s="4" t="str">
        <f>IFERROR(VLOOKUP(D19,Lookup_Departments!$A$2:$B$7,1,FALSE),"Invalid")</f>
        <v>SAL05</v>
      </c>
      <c r="P19" s="8">
        <f t="shared" si="1"/>
        <v>42899</v>
      </c>
      <c r="Q19" s="17">
        <f t="shared" ca="1" si="2"/>
        <v>9</v>
      </c>
      <c r="R19" s="14">
        <f>IF(F19="",AVERAGEIF($D$2:$D$151,D19,$F$2:$F$151),F19)</f>
        <v>102921</v>
      </c>
      <c r="S19" s="17">
        <f>IF(G19="",AVERAGE($G$2:$G$158),G19)</f>
        <v>49</v>
      </c>
      <c r="T19" s="6" t="str">
        <f>_xlfn.XLOOKUP(S19,Lookup_Performance!$A$2:$A$6,Lookup_Performance!$C$2:$C$6,"Not Found",-1)</f>
        <v>Needs Improvement</v>
      </c>
      <c r="U19" s="24">
        <f>_xlfn.XLOOKUP(S19,Lookup_Performance!$A$2:$A$6,Lookup_Performance!$D$2:$D$6,"Not Found",-1)</f>
        <v>0</v>
      </c>
      <c r="V19" s="6" t="str">
        <f>TRIM(CLEAN(UPPER(H19)))</f>
        <v>ACTIVE</v>
      </c>
    </row>
    <row r="20" spans="1:22" x14ac:dyDescent="0.35">
      <c r="A20" s="4" t="s">
        <v>65</v>
      </c>
      <c r="B20" s="6" t="s">
        <v>66</v>
      </c>
      <c r="C20" s="6" t="s">
        <v>67</v>
      </c>
      <c r="D20" s="6" t="s">
        <v>16</v>
      </c>
      <c r="E20" s="8">
        <v>43235</v>
      </c>
      <c r="F20" s="10">
        <v>73984</v>
      </c>
      <c r="G20">
        <v>62</v>
      </c>
      <c r="H20" t="s">
        <v>265</v>
      </c>
      <c r="J20" s="4" t="str">
        <f>TRIM(CLEAN(A20))</f>
        <v>EMP066</v>
      </c>
      <c r="K20" s="6" t="str">
        <f>TRIM(CLEAN(PROPER(B20)))</f>
        <v>Ashley</v>
      </c>
      <c r="L20" s="6" t="str">
        <f>TRIM(CLEAN(PROPER(C20)))</f>
        <v>Lopez</v>
      </c>
      <c r="M20" s="22" t="str">
        <f t="shared" si="0"/>
        <v>Ashley Lopez</v>
      </c>
      <c r="N20" s="22" t="str">
        <f>_xlfn.XLOOKUP(O20,Lookup_Departments!$A$2:$A$7,Lookup_Departments!$B$2:$B$7,"Not Found")</f>
        <v>Marketing</v>
      </c>
      <c r="O20" s="4" t="str">
        <f>IFERROR(VLOOKUP(D20,Lookup_Departments!$A$2:$B$7,1,FALSE),"Invalid")</f>
        <v>MKT04</v>
      </c>
      <c r="P20" s="8">
        <f t="shared" si="1"/>
        <v>43235</v>
      </c>
      <c r="Q20" s="17">
        <f t="shared" ca="1" si="2"/>
        <v>8</v>
      </c>
      <c r="R20" s="14">
        <f>IF(F20="",AVERAGEIF($D$2:$D$151,D20,$F$2:$F$151),F20)</f>
        <v>73984</v>
      </c>
      <c r="S20" s="17">
        <f>IF(G20="",AVERAGE($G$2:$G$158),G20)</f>
        <v>62</v>
      </c>
      <c r="T20" s="6" t="str">
        <f>_xlfn.XLOOKUP(S20,Lookup_Performance!$A$2:$A$6,Lookup_Performance!$C$2:$C$6,"Not Found",-1)</f>
        <v>Developing</v>
      </c>
      <c r="U20" s="24">
        <f>_xlfn.XLOOKUP(S20,Lookup_Performance!$A$2:$A$6,Lookup_Performance!$D$2:$D$6,"Not Found",-1)</f>
        <v>0.02</v>
      </c>
      <c r="V20" s="6" t="str">
        <f>TRIM(CLEAN(UPPER(H20)))</f>
        <v>ACTIVE</v>
      </c>
    </row>
    <row r="21" spans="1:22" x14ac:dyDescent="0.35">
      <c r="A21" s="4" t="s">
        <v>68</v>
      </c>
      <c r="B21" s="6" t="s">
        <v>69</v>
      </c>
      <c r="C21" s="6" t="s">
        <v>19</v>
      </c>
      <c r="D21" s="6" t="s">
        <v>11</v>
      </c>
      <c r="E21" s="8">
        <v>42575</v>
      </c>
      <c r="G21">
        <v>93</v>
      </c>
      <c r="H21" t="s">
        <v>265</v>
      </c>
      <c r="J21" s="4" t="str">
        <f>TRIM(CLEAN(A21))</f>
        <v>EMP120</v>
      </c>
      <c r="K21" s="6" t="str">
        <f>TRIM(CLEAN(PROPER(B21)))</f>
        <v>Amanda</v>
      </c>
      <c r="L21" s="6" t="str">
        <f>TRIM(CLEAN(PROPER(C21)))</f>
        <v>Gonzalez</v>
      </c>
      <c r="M21" s="22" t="str">
        <f t="shared" si="0"/>
        <v>Amanda Gonzalez</v>
      </c>
      <c r="N21" s="22" t="str">
        <f>_xlfn.XLOOKUP(O21,Lookup_Departments!$A$2:$A$7,Lookup_Departments!$B$2:$B$7,"Not Found")</f>
        <v>Information Technology</v>
      </c>
      <c r="O21" s="4" t="str">
        <f>IFERROR(VLOOKUP(D21,Lookup_Departments!$A$2:$B$7,1,FALSE),"Invalid")</f>
        <v>IT02</v>
      </c>
      <c r="P21" s="8">
        <f t="shared" si="1"/>
        <v>42575</v>
      </c>
      <c r="Q21" s="17">
        <f t="shared" ca="1" si="2"/>
        <v>9</v>
      </c>
      <c r="R21" s="14">
        <f>IF(F21="",AVERAGEIF($D$2:$D$151,D21,$F$2:$F$151),F21)</f>
        <v>80014.258064516136</v>
      </c>
      <c r="S21" s="17">
        <f>IF(G21="",AVERAGE($G$2:$G$158),G21)</f>
        <v>93</v>
      </c>
      <c r="T21" s="6" t="str">
        <f>_xlfn.XLOOKUP(S21,Lookup_Performance!$A$2:$A$6,Lookup_Performance!$C$2:$C$6,"Not Found",-1)</f>
        <v>Exceeding</v>
      </c>
      <c r="U21" s="24">
        <f>_xlfn.XLOOKUP(S21,Lookup_Performance!$A$2:$A$6,Lookup_Performance!$D$2:$D$6,"Not Found",-1)</f>
        <v>0.08</v>
      </c>
      <c r="V21" s="6" t="str">
        <f>TRIM(CLEAN(UPPER(H21)))</f>
        <v>ACTIVE</v>
      </c>
    </row>
    <row r="22" spans="1:22" x14ac:dyDescent="0.35">
      <c r="A22" s="4" t="s">
        <v>70</v>
      </c>
      <c r="B22" s="6" t="s">
        <v>42</v>
      </c>
      <c r="C22" s="6" t="s">
        <v>15</v>
      </c>
      <c r="D22" s="6" t="s">
        <v>26</v>
      </c>
      <c r="E22" s="8">
        <v>43076</v>
      </c>
      <c r="F22" s="10">
        <v>118527</v>
      </c>
      <c r="G22">
        <v>75</v>
      </c>
      <c r="H22" t="s">
        <v>265</v>
      </c>
      <c r="J22" s="4" t="str">
        <f>TRIM(CLEAN(A22))</f>
        <v>EMP019</v>
      </c>
      <c r="K22" s="6" t="str">
        <f>TRIM(CLEAN(PROPER(B22)))</f>
        <v>Michael</v>
      </c>
      <c r="L22" s="6" t="str">
        <f>TRIM(CLEAN(PROPER(C22)))</f>
        <v>Hernandez</v>
      </c>
      <c r="M22" s="22" t="str">
        <f t="shared" si="0"/>
        <v>Michael Hernandez</v>
      </c>
      <c r="N22" s="22" t="str">
        <f>_xlfn.XLOOKUP(O22,Lookup_Departments!$A$2:$A$7,Lookup_Departments!$B$2:$B$7,"Not Found")</f>
        <v>Finance</v>
      </c>
      <c r="O22" s="4" t="str">
        <f>IFERROR(VLOOKUP(D22,Lookup_Departments!$A$2:$B$7,1,FALSE),"Invalid")</f>
        <v>FIN03</v>
      </c>
      <c r="P22" s="8">
        <f t="shared" si="1"/>
        <v>43076</v>
      </c>
      <c r="Q22" s="17">
        <f t="shared" ca="1" si="2"/>
        <v>8</v>
      </c>
      <c r="R22" s="14">
        <f>IF(F22="",AVERAGEIF($D$2:$D$151,D22,$F$2:$F$151),F22)</f>
        <v>118527</v>
      </c>
      <c r="S22" s="17">
        <f>IF(G22="",AVERAGE($G$2:$G$158),G22)</f>
        <v>75</v>
      </c>
      <c r="T22" s="6" t="str">
        <f>_xlfn.XLOOKUP(S22,Lookup_Performance!$A$2:$A$6,Lookup_Performance!$C$2:$C$6,"Not Found",-1)</f>
        <v>Achieving</v>
      </c>
      <c r="U22" s="24">
        <f>_xlfn.XLOOKUP(S22,Lookup_Performance!$A$2:$A$6,Lookup_Performance!$D$2:$D$6,"Not Found",-1)</f>
        <v>0.05</v>
      </c>
      <c r="V22" s="6" t="str">
        <f>TRIM(CLEAN(UPPER(H22)))</f>
        <v>ACTIVE</v>
      </c>
    </row>
    <row r="23" spans="1:22" x14ac:dyDescent="0.35">
      <c r="A23" s="4" t="s">
        <v>71</v>
      </c>
      <c r="B23" s="6" t="s">
        <v>14</v>
      </c>
      <c r="C23" s="6" t="s">
        <v>15</v>
      </c>
      <c r="D23" s="6" t="s">
        <v>16</v>
      </c>
      <c r="E23" s="8">
        <v>44353</v>
      </c>
      <c r="F23" s="10">
        <v>107871</v>
      </c>
      <c r="G23">
        <v>50</v>
      </c>
      <c r="H23" t="s">
        <v>265</v>
      </c>
      <c r="J23" s="4" t="str">
        <f>TRIM(CLEAN(A23))</f>
        <v>EMP013</v>
      </c>
      <c r="K23" s="6" t="str">
        <f>TRIM(CLEAN(PROPER(B23)))</f>
        <v>Richard</v>
      </c>
      <c r="L23" s="6" t="str">
        <f>TRIM(CLEAN(PROPER(C23)))</f>
        <v>Hernandez</v>
      </c>
      <c r="M23" s="22" t="str">
        <f t="shared" si="0"/>
        <v>Richard Hernandez</v>
      </c>
      <c r="N23" s="22" t="str">
        <f>_xlfn.XLOOKUP(O23,Lookup_Departments!$A$2:$A$7,Lookup_Departments!$B$2:$B$7,"Not Found")</f>
        <v>Marketing</v>
      </c>
      <c r="O23" s="4" t="str">
        <f>IFERROR(VLOOKUP(D23,Lookup_Departments!$A$2:$B$7,1,FALSE),"Invalid")</f>
        <v>MKT04</v>
      </c>
      <c r="P23" s="8">
        <f t="shared" si="1"/>
        <v>44353</v>
      </c>
      <c r="Q23" s="17">
        <f t="shared" ca="1" si="2"/>
        <v>5</v>
      </c>
      <c r="R23" s="14">
        <f>IF(F23="",AVERAGEIF($D$2:$D$151,D23,$F$2:$F$151),F23)</f>
        <v>107871</v>
      </c>
      <c r="S23" s="17">
        <f>IF(G23="",AVERAGE($G$2:$G$158),G23)</f>
        <v>50</v>
      </c>
      <c r="T23" s="6" t="str">
        <f>_xlfn.XLOOKUP(S23,Lookup_Performance!$A$2:$A$6,Lookup_Performance!$C$2:$C$6,"Not Found",-1)</f>
        <v>Developing</v>
      </c>
      <c r="U23" s="24">
        <f>_xlfn.XLOOKUP(S23,Lookup_Performance!$A$2:$A$6,Lookup_Performance!$D$2:$D$6,"Not Found",-1)</f>
        <v>0.02</v>
      </c>
      <c r="V23" s="6" t="str">
        <f>TRIM(CLEAN(UPPER(H23)))</f>
        <v>ACTIVE</v>
      </c>
    </row>
    <row r="24" spans="1:22" x14ac:dyDescent="0.35">
      <c r="A24" s="4" t="s">
        <v>72</v>
      </c>
      <c r="B24" s="6" t="s">
        <v>42</v>
      </c>
      <c r="C24" s="6" t="s">
        <v>40</v>
      </c>
      <c r="D24" s="6" t="s">
        <v>11</v>
      </c>
      <c r="E24" s="8">
        <v>44815</v>
      </c>
      <c r="F24" s="10">
        <v>93956</v>
      </c>
      <c r="G24">
        <v>88</v>
      </c>
      <c r="H24" t="s">
        <v>12</v>
      </c>
      <c r="J24" s="4" t="str">
        <f>TRIM(CLEAN(A24))</f>
        <v>EMP010</v>
      </c>
      <c r="K24" s="6" t="str">
        <f>TRIM(CLEAN(PROPER(B24)))</f>
        <v>Michael</v>
      </c>
      <c r="L24" s="6" t="str">
        <f>TRIM(CLEAN(PROPER(C24)))</f>
        <v>Rodriguez</v>
      </c>
      <c r="M24" s="22" t="str">
        <f t="shared" si="0"/>
        <v>Michael Rodriguez</v>
      </c>
      <c r="N24" s="22" t="str">
        <f>_xlfn.XLOOKUP(O24,Lookup_Departments!$A$2:$A$7,Lookup_Departments!$B$2:$B$7,"Not Found")</f>
        <v>Information Technology</v>
      </c>
      <c r="O24" s="4" t="str">
        <f>IFERROR(VLOOKUP(D24,Lookup_Departments!$A$2:$B$7,1,FALSE),"Invalid")</f>
        <v>IT02</v>
      </c>
      <c r="P24" s="8">
        <f t="shared" si="1"/>
        <v>44815</v>
      </c>
      <c r="Q24" s="17">
        <f t="shared" ca="1" si="2"/>
        <v>3</v>
      </c>
      <c r="R24" s="14">
        <f>IF(F24="",AVERAGEIF($D$2:$D$151,D24,$F$2:$F$151),F24)</f>
        <v>93956</v>
      </c>
      <c r="S24" s="17">
        <f>IF(G24="",AVERAGE($G$2:$G$158),G24)</f>
        <v>88</v>
      </c>
      <c r="T24" s="6" t="str">
        <f>_xlfn.XLOOKUP(S24,Lookup_Performance!$A$2:$A$6,Lookup_Performance!$C$2:$C$6,"Not Found",-1)</f>
        <v>Exceeding</v>
      </c>
      <c r="U24" s="24">
        <f>_xlfn.XLOOKUP(S24,Lookup_Performance!$A$2:$A$6,Lookup_Performance!$D$2:$D$6,"Not Found",-1)</f>
        <v>0.08</v>
      </c>
      <c r="V24" s="6" t="str">
        <f>TRIM(CLEAN(UPPER(H24)))</f>
        <v>ACTIVE</v>
      </c>
    </row>
    <row r="25" spans="1:22" x14ac:dyDescent="0.35">
      <c r="A25" s="4" t="s">
        <v>73</v>
      </c>
      <c r="B25" s="6" t="s">
        <v>38</v>
      </c>
      <c r="C25" s="6" t="s">
        <v>32</v>
      </c>
      <c r="D25" s="6" t="s">
        <v>26</v>
      </c>
      <c r="E25" s="8">
        <v>42565</v>
      </c>
      <c r="F25" s="10">
        <v>100851</v>
      </c>
      <c r="G25">
        <v>50</v>
      </c>
      <c r="H25" t="s">
        <v>22</v>
      </c>
      <c r="J25" s="4" t="str">
        <f>TRIM(CLEAN(A25))</f>
        <v>EMP032</v>
      </c>
      <c r="K25" s="6" t="str">
        <f>TRIM(CLEAN(PROPER(B25)))</f>
        <v>Jessica</v>
      </c>
      <c r="L25" s="6" t="str">
        <f>TRIM(CLEAN(PROPER(C25)))</f>
        <v>Johnson</v>
      </c>
      <c r="M25" s="22" t="str">
        <f t="shared" si="0"/>
        <v>Jessica Johnson</v>
      </c>
      <c r="N25" s="22" t="str">
        <f>_xlfn.XLOOKUP(O25,Lookup_Departments!$A$2:$A$7,Lookup_Departments!$B$2:$B$7,"Not Found")</f>
        <v>Finance</v>
      </c>
      <c r="O25" s="4" t="str">
        <f>IFERROR(VLOOKUP(D25,Lookup_Departments!$A$2:$B$7,1,FALSE),"Invalid")</f>
        <v>FIN03</v>
      </c>
      <c r="P25" s="8">
        <f t="shared" si="1"/>
        <v>42565</v>
      </c>
      <c r="Q25" s="17">
        <f t="shared" ca="1" si="2"/>
        <v>9</v>
      </c>
      <c r="R25" s="14">
        <f>IF(F25="",AVERAGEIF($D$2:$D$151,D25,$F$2:$F$151),F25)</f>
        <v>100851</v>
      </c>
      <c r="S25" s="17">
        <f>IF(G25="",AVERAGE($G$2:$G$158),G25)</f>
        <v>50</v>
      </c>
      <c r="T25" s="6" t="str">
        <f>_xlfn.XLOOKUP(S25,Lookup_Performance!$A$2:$A$6,Lookup_Performance!$C$2:$C$6,"Not Found",-1)</f>
        <v>Developing</v>
      </c>
      <c r="U25" s="24">
        <f>_xlfn.XLOOKUP(S25,Lookup_Performance!$A$2:$A$6,Lookup_Performance!$D$2:$D$6,"Not Found",-1)</f>
        <v>0.02</v>
      </c>
      <c r="V25" s="6" t="str">
        <f>TRIM(CLEAN(UPPER(H25)))</f>
        <v>LEFT</v>
      </c>
    </row>
    <row r="26" spans="1:22" x14ac:dyDescent="0.35">
      <c r="A26" s="4" t="s">
        <v>75</v>
      </c>
      <c r="B26" s="6" t="s">
        <v>66</v>
      </c>
      <c r="C26" s="6" t="s">
        <v>53</v>
      </c>
      <c r="D26" s="6" t="s">
        <v>43</v>
      </c>
      <c r="E26" s="8">
        <v>44728</v>
      </c>
      <c r="F26" s="10">
        <v>68655</v>
      </c>
      <c r="G26">
        <v>64</v>
      </c>
      <c r="H26" t="s">
        <v>17</v>
      </c>
      <c r="J26" s="4" t="str">
        <f>TRIM(CLEAN(A26))</f>
        <v>EMP082</v>
      </c>
      <c r="K26" s="6" t="str">
        <f>TRIM(CLEAN(PROPER(B26)))</f>
        <v>Ashley</v>
      </c>
      <c r="L26" s="6" t="str">
        <f>TRIM(CLEAN(PROPER(C26)))</f>
        <v>Williams</v>
      </c>
      <c r="M26" s="22" t="str">
        <f t="shared" si="0"/>
        <v>Ashley Williams</v>
      </c>
      <c r="N26" s="22" t="str">
        <f>_xlfn.XLOOKUP(O26,Lookup_Departments!$A$2:$A$7,Lookup_Departments!$B$2:$B$7,"Not Found")</f>
        <v>Sales</v>
      </c>
      <c r="O26" s="4" t="str">
        <f>IFERROR(VLOOKUP(D26,Lookup_Departments!$A$2:$B$7,1,FALSE),"Invalid")</f>
        <v>SAL05</v>
      </c>
      <c r="P26" s="8">
        <f t="shared" si="1"/>
        <v>44728</v>
      </c>
      <c r="Q26" s="17">
        <f t="shared" ca="1" si="2"/>
        <v>4</v>
      </c>
      <c r="R26" s="14">
        <f>IF(F26="",AVERAGEIF($D$2:$D$151,D26,$F$2:$F$151),F26)</f>
        <v>68655</v>
      </c>
      <c r="S26" s="17">
        <f>IF(G26="",AVERAGE($G$2:$G$158),G26)</f>
        <v>64</v>
      </c>
      <c r="T26" s="6" t="str">
        <f>_xlfn.XLOOKUP(S26,Lookup_Performance!$A$2:$A$6,Lookup_Performance!$C$2:$C$6,"Not Found",-1)</f>
        <v>Developing</v>
      </c>
      <c r="U26" s="24">
        <f>_xlfn.XLOOKUP(S26,Lookup_Performance!$A$2:$A$6,Lookup_Performance!$D$2:$D$6,"Not Found",-1)</f>
        <v>0.02</v>
      </c>
      <c r="V26" s="6" t="str">
        <f>TRIM(CLEAN(UPPER(H26)))</f>
        <v>ACTIVE</v>
      </c>
    </row>
    <row r="27" spans="1:22" x14ac:dyDescent="0.35">
      <c r="A27" s="4" t="s">
        <v>76</v>
      </c>
      <c r="B27" s="6" t="s">
        <v>268</v>
      </c>
      <c r="C27" s="6" t="s">
        <v>53</v>
      </c>
      <c r="D27" s="6" t="s">
        <v>43</v>
      </c>
      <c r="E27" s="8">
        <v>45134</v>
      </c>
      <c r="F27" s="10">
        <v>81205</v>
      </c>
      <c r="G27">
        <v>32</v>
      </c>
      <c r="H27" t="s">
        <v>12</v>
      </c>
      <c r="J27" s="4" t="str">
        <f>TRIM(CLEAN(A27))</f>
        <v>EMP052</v>
      </c>
      <c r="K27" s="6" t="str">
        <f>TRIM(CLEAN(PROPER(B27)))</f>
        <v>Unknown</v>
      </c>
      <c r="L27" s="6" t="str">
        <f>TRIM(CLEAN(PROPER(C27)))</f>
        <v>Williams</v>
      </c>
      <c r="M27" s="22" t="str">
        <f t="shared" si="0"/>
        <v>Unknown Williams</v>
      </c>
      <c r="N27" s="22" t="str">
        <f>_xlfn.XLOOKUP(O27,Lookup_Departments!$A$2:$A$7,Lookup_Departments!$B$2:$B$7,"Not Found")</f>
        <v>Sales</v>
      </c>
      <c r="O27" s="4" t="str">
        <f>IFERROR(VLOOKUP(D27,Lookup_Departments!$A$2:$B$7,1,FALSE),"Invalid")</f>
        <v>SAL05</v>
      </c>
      <c r="P27" s="8">
        <f t="shared" si="1"/>
        <v>45134</v>
      </c>
      <c r="Q27" s="17">
        <f t="shared" ca="1" si="2"/>
        <v>2</v>
      </c>
      <c r="R27" s="14">
        <f>IF(F27="",AVERAGEIF($D$2:$D$151,D27,$F$2:$F$151),F27)</f>
        <v>81205</v>
      </c>
      <c r="S27" s="17">
        <f>IF(G27="",AVERAGE($G$2:$G$158),G27)</f>
        <v>32</v>
      </c>
      <c r="T27" s="6" t="str">
        <f>_xlfn.XLOOKUP(S27,Lookup_Performance!$A$2:$A$6,Lookup_Performance!$C$2:$C$6,"Not Found",-1)</f>
        <v>Needs Improvement</v>
      </c>
      <c r="U27" s="24">
        <f>_xlfn.XLOOKUP(S27,Lookup_Performance!$A$2:$A$6,Lookup_Performance!$D$2:$D$6,"Not Found",-1)</f>
        <v>0</v>
      </c>
      <c r="V27" s="6" t="str">
        <f>TRIM(CLEAN(UPPER(H27)))</f>
        <v>ACTIVE</v>
      </c>
    </row>
    <row r="28" spans="1:22" x14ac:dyDescent="0.35">
      <c r="A28" s="4" t="s">
        <v>78</v>
      </c>
      <c r="B28" s="6" t="s">
        <v>24</v>
      </c>
      <c r="C28" s="6" t="s">
        <v>35</v>
      </c>
      <c r="D28" s="6" t="s">
        <v>43</v>
      </c>
      <c r="E28" s="8" t="s">
        <v>79</v>
      </c>
      <c r="F28" s="10">
        <v>77610</v>
      </c>
      <c r="G28">
        <v>59</v>
      </c>
      <c r="H28" t="s">
        <v>265</v>
      </c>
      <c r="J28" s="4" t="str">
        <f>TRIM(CLEAN(A28))</f>
        <v>EMP129</v>
      </c>
      <c r="K28" s="6" t="str">
        <f>TRIM(CLEAN(PROPER(B28)))</f>
        <v>John</v>
      </c>
      <c r="L28" s="6" t="str">
        <f>TRIM(CLEAN(PROPER(C28)))</f>
        <v>Wilson</v>
      </c>
      <c r="M28" s="22" t="str">
        <f t="shared" si="0"/>
        <v>John Wilson</v>
      </c>
      <c r="N28" s="22" t="str">
        <f>_xlfn.XLOOKUP(O28,Lookup_Departments!$A$2:$A$7,Lookup_Departments!$B$2:$B$7,"Not Found")</f>
        <v>Sales</v>
      </c>
      <c r="O28" s="4" t="str">
        <f>IFERROR(VLOOKUP(D28,Lookup_Departments!$A$2:$B$7,1,FALSE),"Invalid")</f>
        <v>SAL05</v>
      </c>
      <c r="P28" s="8">
        <f t="shared" si="1"/>
        <v>43732</v>
      </c>
      <c r="Q28" s="17">
        <f t="shared" ca="1" si="2"/>
        <v>6</v>
      </c>
      <c r="R28" s="14">
        <f>IF(F28="",AVERAGEIF($D$2:$D$151,D28,$F$2:$F$151),F28)</f>
        <v>77610</v>
      </c>
      <c r="S28" s="17">
        <f>IF(G28="",AVERAGE($G$2:$G$158),G28)</f>
        <v>59</v>
      </c>
      <c r="T28" s="6" t="str">
        <f>_xlfn.XLOOKUP(S28,Lookup_Performance!$A$2:$A$6,Lookup_Performance!$C$2:$C$6,"Not Found",-1)</f>
        <v>Developing</v>
      </c>
      <c r="U28" s="24">
        <f>_xlfn.XLOOKUP(S28,Lookup_Performance!$A$2:$A$6,Lookup_Performance!$D$2:$D$6,"Not Found",-1)</f>
        <v>0.02</v>
      </c>
      <c r="V28" s="6" t="str">
        <f>TRIM(CLEAN(UPPER(H28)))</f>
        <v>ACTIVE</v>
      </c>
    </row>
    <row r="29" spans="1:22" x14ac:dyDescent="0.35">
      <c r="A29" s="4" t="s">
        <v>81</v>
      </c>
      <c r="B29" s="6" t="s">
        <v>28</v>
      </c>
      <c r="C29" s="6" t="s">
        <v>40</v>
      </c>
      <c r="D29" s="6" t="s">
        <v>11</v>
      </c>
      <c r="E29" s="8">
        <v>44765</v>
      </c>
      <c r="F29" s="10">
        <v>50873</v>
      </c>
      <c r="G29">
        <v>88</v>
      </c>
      <c r="H29" t="s">
        <v>265</v>
      </c>
      <c r="J29" s="4" t="str">
        <f>TRIM(CLEAN(A29))</f>
        <v>EMP146</v>
      </c>
      <c r="K29" s="6" t="str">
        <f>TRIM(CLEAN(PROPER(B29)))</f>
        <v>Thomas</v>
      </c>
      <c r="L29" s="6" t="str">
        <f>TRIM(CLEAN(PROPER(C29)))</f>
        <v>Rodriguez</v>
      </c>
      <c r="M29" s="22" t="str">
        <f t="shared" si="0"/>
        <v>Thomas Rodriguez</v>
      </c>
      <c r="N29" s="22" t="str">
        <f>_xlfn.XLOOKUP(O29,Lookup_Departments!$A$2:$A$7,Lookup_Departments!$B$2:$B$7,"Not Found")</f>
        <v>Information Technology</v>
      </c>
      <c r="O29" s="4" t="str">
        <f>IFERROR(VLOOKUP(D29,Lookup_Departments!$A$2:$B$7,1,FALSE),"Invalid")</f>
        <v>IT02</v>
      </c>
      <c r="P29" s="8">
        <f t="shared" si="1"/>
        <v>44765</v>
      </c>
      <c r="Q29" s="17">
        <f t="shared" ca="1" si="2"/>
        <v>3</v>
      </c>
      <c r="R29" s="14">
        <f>IF(F29="",AVERAGEIF($D$2:$D$151,D29,$F$2:$F$151),F29)</f>
        <v>50873</v>
      </c>
      <c r="S29" s="17">
        <f>IF(G29="",AVERAGE($G$2:$G$158),G29)</f>
        <v>88</v>
      </c>
      <c r="T29" s="6" t="str">
        <f>_xlfn.XLOOKUP(S29,Lookup_Performance!$A$2:$A$6,Lookup_Performance!$C$2:$C$6,"Not Found",-1)</f>
        <v>Exceeding</v>
      </c>
      <c r="U29" s="24">
        <f>_xlfn.XLOOKUP(S29,Lookup_Performance!$A$2:$A$6,Lookup_Performance!$D$2:$D$6,"Not Found",-1)</f>
        <v>0.08</v>
      </c>
      <c r="V29" s="6" t="str">
        <f>TRIM(CLEAN(UPPER(H29)))</f>
        <v>ACTIVE</v>
      </c>
    </row>
    <row r="30" spans="1:22" x14ac:dyDescent="0.35">
      <c r="A30" s="4" t="s">
        <v>84</v>
      </c>
      <c r="B30" s="6" t="s">
        <v>42</v>
      </c>
      <c r="C30" s="6" t="s">
        <v>35</v>
      </c>
      <c r="D30" s="6" t="s">
        <v>26</v>
      </c>
      <c r="E30" s="8">
        <v>43233</v>
      </c>
      <c r="F30" s="10">
        <v>85312</v>
      </c>
      <c r="G30">
        <v>90</v>
      </c>
      <c r="H30" t="s">
        <v>44</v>
      </c>
      <c r="J30" s="4" t="str">
        <f>TRIM(CLEAN(A30))</f>
        <v>EMP099</v>
      </c>
      <c r="K30" s="6" t="str">
        <f>TRIM(CLEAN(PROPER(B30)))</f>
        <v>Michael</v>
      </c>
      <c r="L30" s="6" t="str">
        <f>TRIM(CLEAN(PROPER(C30)))</f>
        <v>Wilson</v>
      </c>
      <c r="M30" s="22" t="str">
        <f t="shared" si="0"/>
        <v>Michael Wilson</v>
      </c>
      <c r="N30" s="22" t="str">
        <f>_xlfn.XLOOKUP(O30,Lookup_Departments!$A$2:$A$7,Lookup_Departments!$B$2:$B$7,"Not Found")</f>
        <v>Finance</v>
      </c>
      <c r="O30" s="4" t="str">
        <f>IFERROR(VLOOKUP(D30,Lookup_Departments!$A$2:$B$7,1,FALSE),"Invalid")</f>
        <v>FIN03</v>
      </c>
      <c r="P30" s="8">
        <f t="shared" si="1"/>
        <v>43233</v>
      </c>
      <c r="Q30" s="17">
        <f t="shared" ca="1" si="2"/>
        <v>8</v>
      </c>
      <c r="R30" s="14">
        <f>IF(F30="",AVERAGEIF($D$2:$D$151,D30,$F$2:$F$151),F30)</f>
        <v>85312</v>
      </c>
      <c r="S30" s="17">
        <f>IF(G30="",AVERAGE($G$2:$G$158),G30)</f>
        <v>90</v>
      </c>
      <c r="T30" s="6" t="str">
        <f>_xlfn.XLOOKUP(S30,Lookup_Performance!$A$2:$A$6,Lookup_Performance!$C$2:$C$6,"Not Found",-1)</f>
        <v>Exceeding</v>
      </c>
      <c r="U30" s="24">
        <f>_xlfn.XLOOKUP(S30,Lookup_Performance!$A$2:$A$6,Lookup_Performance!$D$2:$D$6,"Not Found",-1)</f>
        <v>0.08</v>
      </c>
      <c r="V30" s="6" t="str">
        <f>TRIM(CLEAN(UPPER(H30)))</f>
        <v>ACTIVE</v>
      </c>
    </row>
    <row r="31" spans="1:22" x14ac:dyDescent="0.35">
      <c r="A31" s="4" t="s">
        <v>86</v>
      </c>
      <c r="B31" s="6" t="s">
        <v>24</v>
      </c>
      <c r="C31" s="6" t="s">
        <v>40</v>
      </c>
      <c r="D31" s="6" t="s">
        <v>43</v>
      </c>
      <c r="E31" s="8">
        <v>42202</v>
      </c>
      <c r="G31">
        <v>66</v>
      </c>
      <c r="H31" t="s">
        <v>12</v>
      </c>
      <c r="J31" s="4" t="str">
        <f>TRIM(CLEAN(A31))</f>
        <v>EMP015</v>
      </c>
      <c r="K31" s="6" t="str">
        <f>TRIM(CLEAN(PROPER(B31)))</f>
        <v>John</v>
      </c>
      <c r="L31" s="6" t="str">
        <f>TRIM(CLEAN(PROPER(C31)))</f>
        <v>Rodriguez</v>
      </c>
      <c r="M31" s="22" t="str">
        <f t="shared" si="0"/>
        <v>John Rodriguez</v>
      </c>
      <c r="N31" s="22" t="str">
        <f>_xlfn.XLOOKUP(O31,Lookup_Departments!$A$2:$A$7,Lookup_Departments!$B$2:$B$7,"Not Found")</f>
        <v>Sales</v>
      </c>
      <c r="O31" s="4" t="str">
        <f>IFERROR(VLOOKUP(D31,Lookup_Departments!$A$2:$B$7,1,FALSE),"Invalid")</f>
        <v>SAL05</v>
      </c>
      <c r="P31" s="8">
        <f t="shared" si="1"/>
        <v>42202</v>
      </c>
      <c r="Q31" s="17">
        <f t="shared" ca="1" si="2"/>
        <v>10</v>
      </c>
      <c r="R31" s="14">
        <f>IF(F31="",AVERAGEIF($D$2:$D$151,D31,$F$2:$F$151),F31)</f>
        <v>87282.34782608696</v>
      </c>
      <c r="S31" s="17">
        <f>IF(G31="",AVERAGE($G$2:$G$158),G31)</f>
        <v>66</v>
      </c>
      <c r="T31" s="6" t="str">
        <f>_xlfn.XLOOKUP(S31,Lookup_Performance!$A$2:$A$6,Lookup_Performance!$C$2:$C$6,"Not Found",-1)</f>
        <v>Developing</v>
      </c>
      <c r="U31" s="24">
        <f>_xlfn.XLOOKUP(S31,Lookup_Performance!$A$2:$A$6,Lookup_Performance!$D$2:$D$6,"Not Found",-1)</f>
        <v>0.02</v>
      </c>
      <c r="V31" s="6" t="str">
        <f>TRIM(CLEAN(UPPER(H31)))</f>
        <v>ACTIVE</v>
      </c>
    </row>
    <row r="32" spans="1:22" x14ac:dyDescent="0.35">
      <c r="A32" s="4" t="s">
        <v>87</v>
      </c>
      <c r="B32" s="6" t="s">
        <v>28</v>
      </c>
      <c r="C32" s="6" t="s">
        <v>15</v>
      </c>
      <c r="D32" s="6" t="s">
        <v>33</v>
      </c>
      <c r="E32" s="8">
        <v>42221</v>
      </c>
      <c r="F32" s="10">
        <v>97055</v>
      </c>
      <c r="G32">
        <v>68</v>
      </c>
      <c r="H32" t="s">
        <v>12</v>
      </c>
      <c r="J32" s="4" t="str">
        <f>TRIM(CLEAN(A32))</f>
        <v>EMP076</v>
      </c>
      <c r="K32" s="6" t="str">
        <f>TRIM(CLEAN(PROPER(B32)))</f>
        <v>Thomas</v>
      </c>
      <c r="L32" s="6" t="str">
        <f>TRIM(CLEAN(PROPER(C32)))</f>
        <v>Hernandez</v>
      </c>
      <c r="M32" s="22" t="str">
        <f t="shared" si="0"/>
        <v>Thomas Hernandez</v>
      </c>
      <c r="N32" s="22" t="str">
        <f>_xlfn.XLOOKUP(O32,Lookup_Departments!$A$2:$A$7,Lookup_Departments!$B$2:$B$7,"Not Found")</f>
        <v>Operations</v>
      </c>
      <c r="O32" s="4" t="str">
        <f>IFERROR(VLOOKUP(D32,Lookup_Departments!$A$2:$B$7,1,FALSE),"Invalid")</f>
        <v>OPS06</v>
      </c>
      <c r="P32" s="8">
        <f t="shared" si="1"/>
        <v>42221</v>
      </c>
      <c r="Q32" s="17">
        <f t="shared" ca="1" si="2"/>
        <v>10</v>
      </c>
      <c r="R32" s="14">
        <f>IF(F32="",AVERAGEIF($D$2:$D$151,D32,$F$2:$F$151),F32)</f>
        <v>97055</v>
      </c>
      <c r="S32" s="17">
        <f>IF(G32="",AVERAGE($G$2:$G$158),G32)</f>
        <v>68</v>
      </c>
      <c r="T32" s="6" t="str">
        <f>_xlfn.XLOOKUP(S32,Lookup_Performance!$A$2:$A$6,Lookup_Performance!$C$2:$C$6,"Not Found",-1)</f>
        <v>Developing</v>
      </c>
      <c r="U32" s="24">
        <f>_xlfn.XLOOKUP(S32,Lookup_Performance!$A$2:$A$6,Lookup_Performance!$D$2:$D$6,"Not Found",-1)</f>
        <v>0.02</v>
      </c>
      <c r="V32" s="6" t="str">
        <f>TRIM(CLEAN(UPPER(H32)))</f>
        <v>ACTIVE</v>
      </c>
    </row>
    <row r="33" spans="1:22" x14ac:dyDescent="0.35">
      <c r="A33" s="4" t="s">
        <v>88</v>
      </c>
      <c r="B33" s="6" t="s">
        <v>42</v>
      </c>
      <c r="C33" s="6" t="s">
        <v>32</v>
      </c>
      <c r="D33" s="6" t="s">
        <v>11</v>
      </c>
      <c r="E33" s="8">
        <v>45195</v>
      </c>
      <c r="F33" s="10">
        <v>66069</v>
      </c>
      <c r="G33">
        <v>80</v>
      </c>
      <c r="H33" t="s">
        <v>265</v>
      </c>
      <c r="J33" s="4" t="str">
        <f>TRIM(CLEAN(A33))</f>
        <v>EMP137</v>
      </c>
      <c r="K33" s="6" t="str">
        <f>TRIM(CLEAN(PROPER(B33)))</f>
        <v>Michael</v>
      </c>
      <c r="L33" s="6" t="str">
        <f>TRIM(CLEAN(PROPER(C33)))</f>
        <v>Johnson</v>
      </c>
      <c r="M33" s="22" t="str">
        <f t="shared" si="0"/>
        <v>Michael Johnson</v>
      </c>
      <c r="N33" s="22" t="str">
        <f>_xlfn.XLOOKUP(O33,Lookup_Departments!$A$2:$A$7,Lookup_Departments!$B$2:$B$7,"Not Found")</f>
        <v>Information Technology</v>
      </c>
      <c r="O33" s="4" t="str">
        <f>IFERROR(VLOOKUP(D33,Lookup_Departments!$A$2:$B$7,1,FALSE),"Invalid")</f>
        <v>IT02</v>
      </c>
      <c r="P33" s="8">
        <f t="shared" si="1"/>
        <v>45195</v>
      </c>
      <c r="Q33" s="17">
        <f t="shared" ca="1" si="2"/>
        <v>2</v>
      </c>
      <c r="R33" s="14">
        <f>IF(F33="",AVERAGEIF($D$2:$D$151,D33,$F$2:$F$151),F33)</f>
        <v>66069</v>
      </c>
      <c r="S33" s="17">
        <f>IF(G33="",AVERAGE($G$2:$G$158),G33)</f>
        <v>80</v>
      </c>
      <c r="T33" s="6" t="str">
        <f>_xlfn.XLOOKUP(S33,Lookup_Performance!$A$2:$A$6,Lookup_Performance!$C$2:$C$6,"Not Found",-1)</f>
        <v>Achieving</v>
      </c>
      <c r="U33" s="24">
        <f>_xlfn.XLOOKUP(S33,Lookup_Performance!$A$2:$A$6,Lookup_Performance!$D$2:$D$6,"Not Found",-1)</f>
        <v>0.05</v>
      </c>
      <c r="V33" s="6" t="str">
        <f>TRIM(CLEAN(UPPER(H33)))</f>
        <v>ACTIVE</v>
      </c>
    </row>
    <row r="34" spans="1:22" x14ac:dyDescent="0.35">
      <c r="A34" s="4" t="s">
        <v>89</v>
      </c>
      <c r="B34" s="6" t="s">
        <v>90</v>
      </c>
      <c r="C34" s="6" t="s">
        <v>10</v>
      </c>
      <c r="D34" s="6" t="s">
        <v>11</v>
      </c>
      <c r="E34" s="8">
        <v>43626</v>
      </c>
      <c r="F34" s="10">
        <v>90157</v>
      </c>
      <c r="G34">
        <v>72</v>
      </c>
      <c r="H34" t="s">
        <v>265</v>
      </c>
      <c r="J34" s="4" t="str">
        <f>TRIM(CLEAN(A34))</f>
        <v>EMP056</v>
      </c>
      <c r="K34" s="6" t="str">
        <f>TRIM(CLEAN(PROPER(B34)))</f>
        <v>Sarah</v>
      </c>
      <c r="L34" s="6" t="str">
        <f>TRIM(CLEAN(PROPER(C34)))</f>
        <v>Brown</v>
      </c>
      <c r="M34" s="22" t="str">
        <f t="shared" si="0"/>
        <v>Sarah Brown</v>
      </c>
      <c r="N34" s="22" t="str">
        <f>_xlfn.XLOOKUP(O34,Lookup_Departments!$A$2:$A$7,Lookup_Departments!$B$2:$B$7,"Not Found")</f>
        <v>Information Technology</v>
      </c>
      <c r="O34" s="4" t="str">
        <f>IFERROR(VLOOKUP(D34,Lookup_Departments!$A$2:$B$7,1,FALSE),"Invalid")</f>
        <v>IT02</v>
      </c>
      <c r="P34" s="8">
        <f t="shared" si="1"/>
        <v>43626</v>
      </c>
      <c r="Q34" s="17">
        <f t="shared" ca="1" si="2"/>
        <v>7</v>
      </c>
      <c r="R34" s="14">
        <f>IF(F34="",AVERAGEIF($D$2:$D$151,D34,$F$2:$F$151),F34)</f>
        <v>90157</v>
      </c>
      <c r="S34" s="17">
        <f>IF(G34="",AVERAGE($G$2:$G$158),G34)</f>
        <v>72</v>
      </c>
      <c r="T34" s="6" t="str">
        <f>_xlfn.XLOOKUP(S34,Lookup_Performance!$A$2:$A$6,Lookup_Performance!$C$2:$C$6,"Not Found",-1)</f>
        <v>Achieving</v>
      </c>
      <c r="U34" s="24">
        <f>_xlfn.XLOOKUP(S34,Lookup_Performance!$A$2:$A$6,Lookup_Performance!$D$2:$D$6,"Not Found",-1)</f>
        <v>0.05</v>
      </c>
      <c r="V34" s="6" t="str">
        <f>TRIM(CLEAN(UPPER(H34)))</f>
        <v>ACTIVE</v>
      </c>
    </row>
    <row r="35" spans="1:22" x14ac:dyDescent="0.35">
      <c r="A35" s="4" t="s">
        <v>91</v>
      </c>
      <c r="B35" s="6" t="s">
        <v>52</v>
      </c>
      <c r="C35" s="6" t="s">
        <v>25</v>
      </c>
      <c r="D35" s="6" t="s">
        <v>92</v>
      </c>
      <c r="E35" s="8">
        <v>44578</v>
      </c>
      <c r="F35" s="10">
        <v>59899</v>
      </c>
      <c r="G35">
        <v>58</v>
      </c>
      <c r="H35" t="s">
        <v>12</v>
      </c>
      <c r="J35" s="4" t="str">
        <f>TRIM(CLEAN(A35))</f>
        <v>EMP125</v>
      </c>
      <c r="K35" s="6" t="str">
        <f>TRIM(CLEAN(PROPER(B35)))</f>
        <v>Jane</v>
      </c>
      <c r="L35" s="6" t="str">
        <f>TRIM(CLEAN(PROPER(C35)))</f>
        <v>Martinez</v>
      </c>
      <c r="M35" s="22" t="str">
        <f t="shared" si="0"/>
        <v>Jane Martinez</v>
      </c>
      <c r="N35" s="22" t="str">
        <f>_xlfn.XLOOKUP(O35,Lookup_Departments!$A$2:$A$7,Lookup_Departments!$B$2:$B$7,"Not Found")</f>
        <v>Human Resources</v>
      </c>
      <c r="O35" s="4" t="str">
        <f>IFERROR(VLOOKUP(D35,Lookup_Departments!$A$2:$B$7,1,FALSE),"Invalid")</f>
        <v>HR01</v>
      </c>
      <c r="P35" s="8">
        <f t="shared" si="1"/>
        <v>44578</v>
      </c>
      <c r="Q35" s="17">
        <f t="shared" ca="1" si="2"/>
        <v>4</v>
      </c>
      <c r="R35" s="14">
        <f>IF(F35="",AVERAGEIF($D$2:$D$151,D35,$F$2:$F$151),F35)</f>
        <v>59899</v>
      </c>
      <c r="S35" s="17">
        <f>IF(G35="",AVERAGE($G$2:$G$158),G35)</f>
        <v>58</v>
      </c>
      <c r="T35" s="6" t="str">
        <f>_xlfn.XLOOKUP(S35,Lookup_Performance!$A$2:$A$6,Lookup_Performance!$C$2:$C$6,"Not Found",-1)</f>
        <v>Developing</v>
      </c>
      <c r="U35" s="24">
        <f>_xlfn.XLOOKUP(S35,Lookup_Performance!$A$2:$A$6,Lookup_Performance!$D$2:$D$6,"Not Found",-1)</f>
        <v>0.02</v>
      </c>
      <c r="V35" s="6" t="str">
        <f>TRIM(CLEAN(UPPER(H35)))</f>
        <v>ACTIVE</v>
      </c>
    </row>
    <row r="36" spans="1:22" x14ac:dyDescent="0.35">
      <c r="A36" s="4" t="s">
        <v>93</v>
      </c>
      <c r="B36" s="6" t="s">
        <v>9</v>
      </c>
      <c r="C36" s="6" t="s">
        <v>58</v>
      </c>
      <c r="D36" s="6" t="s">
        <v>26</v>
      </c>
      <c r="E36" s="8">
        <v>42919</v>
      </c>
      <c r="F36" s="10">
        <v>113389</v>
      </c>
      <c r="G36">
        <v>78</v>
      </c>
      <c r="H36" t="s">
        <v>265</v>
      </c>
      <c r="J36" s="4" t="str">
        <f>TRIM(CLEAN(A36))</f>
        <v>EMP085</v>
      </c>
      <c r="K36" s="6" t="str">
        <f>TRIM(CLEAN(PROPER(B36)))</f>
        <v>Emily</v>
      </c>
      <c r="L36" s="6" t="str">
        <f>TRIM(CLEAN(PROPER(C36)))</f>
        <v>Jones</v>
      </c>
      <c r="M36" s="22" t="str">
        <f t="shared" si="0"/>
        <v>Emily Jones</v>
      </c>
      <c r="N36" s="22" t="str">
        <f>_xlfn.XLOOKUP(O36,Lookup_Departments!$A$2:$A$7,Lookup_Departments!$B$2:$B$7,"Not Found")</f>
        <v>Finance</v>
      </c>
      <c r="O36" s="4" t="str">
        <f>IFERROR(VLOOKUP(D36,Lookup_Departments!$A$2:$B$7,1,FALSE),"Invalid")</f>
        <v>FIN03</v>
      </c>
      <c r="P36" s="8">
        <f t="shared" si="1"/>
        <v>42919</v>
      </c>
      <c r="Q36" s="17">
        <f t="shared" ca="1" si="2"/>
        <v>9</v>
      </c>
      <c r="R36" s="14">
        <f>IF(F36="",AVERAGEIF($D$2:$D$151,D36,$F$2:$F$151),F36)</f>
        <v>113389</v>
      </c>
      <c r="S36" s="17">
        <f>IF(G36="",AVERAGE($G$2:$G$158),G36)</f>
        <v>78</v>
      </c>
      <c r="T36" s="6" t="str">
        <f>_xlfn.XLOOKUP(S36,Lookup_Performance!$A$2:$A$6,Lookup_Performance!$C$2:$C$6,"Not Found",-1)</f>
        <v>Achieving</v>
      </c>
      <c r="U36" s="24">
        <f>_xlfn.XLOOKUP(S36,Lookup_Performance!$A$2:$A$6,Lookup_Performance!$D$2:$D$6,"Not Found",-1)</f>
        <v>0.05</v>
      </c>
      <c r="V36" s="6" t="str">
        <f>TRIM(CLEAN(UPPER(H36)))</f>
        <v>ACTIVE</v>
      </c>
    </row>
    <row r="37" spans="1:22" x14ac:dyDescent="0.35">
      <c r="A37" s="4" t="s">
        <v>94</v>
      </c>
      <c r="B37" s="6" t="s">
        <v>268</v>
      </c>
      <c r="C37" s="6" t="s">
        <v>10</v>
      </c>
      <c r="D37" s="6" t="s">
        <v>11</v>
      </c>
      <c r="E37" s="8">
        <v>42248</v>
      </c>
      <c r="F37" s="10">
        <v>102691</v>
      </c>
      <c r="G37">
        <v>30</v>
      </c>
      <c r="H37" t="s">
        <v>17</v>
      </c>
      <c r="J37" s="4" t="str">
        <f>TRIM(CLEAN(A37))</f>
        <v>EMP106</v>
      </c>
      <c r="K37" s="6" t="str">
        <f>TRIM(CLEAN(PROPER(B37)))</f>
        <v>Unknown</v>
      </c>
      <c r="L37" s="6" t="str">
        <f>TRIM(CLEAN(PROPER(C37)))</f>
        <v>Brown</v>
      </c>
      <c r="M37" s="22" t="str">
        <f t="shared" si="0"/>
        <v>Unknown Brown</v>
      </c>
      <c r="N37" s="22" t="str">
        <f>_xlfn.XLOOKUP(O37,Lookup_Departments!$A$2:$A$7,Lookup_Departments!$B$2:$B$7,"Not Found")</f>
        <v>Information Technology</v>
      </c>
      <c r="O37" s="4" t="str">
        <f>IFERROR(VLOOKUP(D37,Lookup_Departments!$A$2:$B$7,1,FALSE),"Invalid")</f>
        <v>IT02</v>
      </c>
      <c r="P37" s="8">
        <f t="shared" si="1"/>
        <v>42248</v>
      </c>
      <c r="Q37" s="17">
        <f t="shared" ca="1" si="2"/>
        <v>10</v>
      </c>
      <c r="R37" s="14">
        <f>IF(F37="",AVERAGEIF($D$2:$D$151,D37,$F$2:$F$151),F37)</f>
        <v>102691</v>
      </c>
      <c r="S37" s="17">
        <f>IF(G37="",AVERAGE($G$2:$G$158),G37)</f>
        <v>30</v>
      </c>
      <c r="T37" s="6" t="str">
        <f>_xlfn.XLOOKUP(S37,Lookup_Performance!$A$2:$A$6,Lookup_Performance!$C$2:$C$6,"Not Found",-1)</f>
        <v>Needs Improvement</v>
      </c>
      <c r="U37" s="24">
        <f>_xlfn.XLOOKUP(S37,Lookup_Performance!$A$2:$A$6,Lookup_Performance!$D$2:$D$6,"Not Found",-1)</f>
        <v>0</v>
      </c>
      <c r="V37" s="6" t="str">
        <f>TRIM(CLEAN(UPPER(H37)))</f>
        <v>ACTIVE</v>
      </c>
    </row>
    <row r="38" spans="1:22" x14ac:dyDescent="0.35">
      <c r="A38" s="4" t="s">
        <v>95</v>
      </c>
      <c r="B38" s="6" t="s">
        <v>24</v>
      </c>
      <c r="C38" s="6" t="s">
        <v>35</v>
      </c>
      <c r="D38" s="6" t="s">
        <v>33</v>
      </c>
      <c r="E38" s="8">
        <v>44776</v>
      </c>
      <c r="F38" s="10">
        <v>111845</v>
      </c>
      <c r="G38">
        <v>52</v>
      </c>
      <c r="H38" t="s">
        <v>44</v>
      </c>
      <c r="J38" s="4" t="str">
        <f>TRIM(CLEAN(A38))</f>
        <v>EMP043</v>
      </c>
      <c r="K38" s="6" t="str">
        <f>TRIM(CLEAN(PROPER(B38)))</f>
        <v>John</v>
      </c>
      <c r="L38" s="6" t="str">
        <f>TRIM(CLEAN(PROPER(C38)))</f>
        <v>Wilson</v>
      </c>
      <c r="M38" s="22" t="str">
        <f t="shared" si="0"/>
        <v>John Wilson</v>
      </c>
      <c r="N38" s="22" t="str">
        <f>_xlfn.XLOOKUP(O38,Lookup_Departments!$A$2:$A$7,Lookup_Departments!$B$2:$B$7,"Not Found")</f>
        <v>Operations</v>
      </c>
      <c r="O38" s="4" t="str">
        <f>IFERROR(VLOOKUP(D38,Lookup_Departments!$A$2:$B$7,1,FALSE),"Invalid")</f>
        <v>OPS06</v>
      </c>
      <c r="P38" s="8">
        <f t="shared" si="1"/>
        <v>44776</v>
      </c>
      <c r="Q38" s="17">
        <f t="shared" ca="1" si="2"/>
        <v>3</v>
      </c>
      <c r="R38" s="14">
        <f>IF(F38="",AVERAGEIF($D$2:$D$151,D38,$F$2:$F$151),F38)</f>
        <v>111845</v>
      </c>
      <c r="S38" s="17">
        <f>IF(G38="",AVERAGE($G$2:$G$158),G38)</f>
        <v>52</v>
      </c>
      <c r="T38" s="6" t="str">
        <f>_xlfn.XLOOKUP(S38,Lookup_Performance!$A$2:$A$6,Lookup_Performance!$C$2:$C$6,"Not Found",-1)</f>
        <v>Developing</v>
      </c>
      <c r="U38" s="24">
        <f>_xlfn.XLOOKUP(S38,Lookup_Performance!$A$2:$A$6,Lookup_Performance!$D$2:$D$6,"Not Found",-1)</f>
        <v>0.02</v>
      </c>
      <c r="V38" s="6" t="str">
        <f>TRIM(CLEAN(UPPER(H38)))</f>
        <v>ACTIVE</v>
      </c>
    </row>
    <row r="39" spans="1:22" x14ac:dyDescent="0.35">
      <c r="A39" s="4" t="s">
        <v>96</v>
      </c>
      <c r="B39" s="6" t="s">
        <v>97</v>
      </c>
      <c r="C39" s="6" t="s">
        <v>10</v>
      </c>
      <c r="D39" s="6" t="s">
        <v>43</v>
      </c>
      <c r="E39" s="8" t="s">
        <v>98</v>
      </c>
      <c r="F39" s="10">
        <v>69219</v>
      </c>
      <c r="G39">
        <v>98</v>
      </c>
      <c r="H39" t="s">
        <v>12</v>
      </c>
      <c r="J39" s="4" t="str">
        <f>TRIM(CLEAN(A39))</f>
        <v>EMP068</v>
      </c>
      <c r="K39" s="6" t="str">
        <f>TRIM(CLEAN(PROPER(B39)))</f>
        <v>Melissa</v>
      </c>
      <c r="L39" s="6" t="str">
        <f>TRIM(CLEAN(PROPER(C39)))</f>
        <v>Brown</v>
      </c>
      <c r="M39" s="22" t="str">
        <f t="shared" si="0"/>
        <v>Melissa Brown</v>
      </c>
      <c r="N39" s="22" t="str">
        <f>_xlfn.XLOOKUP(O39,Lookup_Departments!$A$2:$A$7,Lookup_Departments!$B$2:$B$7,"Not Found")</f>
        <v>Sales</v>
      </c>
      <c r="O39" s="4" t="str">
        <f>IFERROR(VLOOKUP(D39,Lookup_Departments!$A$2:$B$7,1,FALSE),"Invalid")</f>
        <v>SAL05</v>
      </c>
      <c r="P39" s="8">
        <f t="shared" si="1"/>
        <v>44741</v>
      </c>
      <c r="Q39" s="17">
        <f t="shared" ca="1" si="2"/>
        <v>4</v>
      </c>
      <c r="R39" s="14">
        <f>IF(F39="",AVERAGEIF($D$2:$D$151,D39,$F$2:$F$151),F39)</f>
        <v>69219</v>
      </c>
      <c r="S39" s="17">
        <f>IF(G39="",AVERAGE($G$2:$G$158),G39)</f>
        <v>98</v>
      </c>
      <c r="T39" s="6" t="str">
        <f>_xlfn.XLOOKUP(S39,Lookup_Performance!$A$2:$A$6,Lookup_Performance!$C$2:$C$6,"Not Found",-1)</f>
        <v>Outstanding</v>
      </c>
      <c r="U39" s="24">
        <f>_xlfn.XLOOKUP(S39,Lookup_Performance!$A$2:$A$6,Lookup_Performance!$D$2:$D$6,"Not Found",-1)</f>
        <v>0.12</v>
      </c>
      <c r="V39" s="6" t="str">
        <f>TRIM(CLEAN(UPPER(H39)))</f>
        <v>ACTIVE</v>
      </c>
    </row>
    <row r="40" spans="1:22" x14ac:dyDescent="0.35">
      <c r="A40" s="4" t="s">
        <v>99</v>
      </c>
      <c r="B40" s="6" t="s">
        <v>42</v>
      </c>
      <c r="C40" s="6" t="s">
        <v>29</v>
      </c>
      <c r="D40" s="6" t="s">
        <v>26</v>
      </c>
      <c r="E40" s="8">
        <v>43949</v>
      </c>
      <c r="G40">
        <v>93</v>
      </c>
      <c r="H40" t="s">
        <v>265</v>
      </c>
      <c r="J40" s="4" t="str">
        <f>TRIM(CLEAN(A40))</f>
        <v>EMP128</v>
      </c>
      <c r="K40" s="6" t="str">
        <f>TRIM(CLEAN(PROPER(B40)))</f>
        <v>Michael</v>
      </c>
      <c r="L40" s="6" t="str">
        <f>TRIM(CLEAN(PROPER(C40)))</f>
        <v>Smith</v>
      </c>
      <c r="M40" s="22" t="str">
        <f t="shared" si="0"/>
        <v>Michael Smith</v>
      </c>
      <c r="N40" s="22" t="str">
        <f>_xlfn.XLOOKUP(O40,Lookup_Departments!$A$2:$A$7,Lookup_Departments!$B$2:$B$7,"Not Found")</f>
        <v>Finance</v>
      </c>
      <c r="O40" s="4" t="str">
        <f>IFERROR(VLOOKUP(D40,Lookup_Departments!$A$2:$B$7,1,FALSE),"Invalid")</f>
        <v>FIN03</v>
      </c>
      <c r="P40" s="8">
        <f t="shared" si="1"/>
        <v>43949</v>
      </c>
      <c r="Q40" s="17">
        <f t="shared" ca="1" si="2"/>
        <v>6</v>
      </c>
      <c r="R40" s="14">
        <f>IF(F40="",AVERAGEIF($D$2:$D$151,D40,$F$2:$F$151),F40)</f>
        <v>87938.5</v>
      </c>
      <c r="S40" s="17">
        <f>IF(G40="",AVERAGE($G$2:$G$158),G40)</f>
        <v>93</v>
      </c>
      <c r="T40" s="6" t="str">
        <f>_xlfn.XLOOKUP(S40,Lookup_Performance!$A$2:$A$6,Lookup_Performance!$C$2:$C$6,"Not Found",-1)</f>
        <v>Exceeding</v>
      </c>
      <c r="U40" s="24">
        <f>_xlfn.XLOOKUP(S40,Lookup_Performance!$A$2:$A$6,Lookup_Performance!$D$2:$D$6,"Not Found",-1)</f>
        <v>0.08</v>
      </c>
      <c r="V40" s="6" t="str">
        <f>TRIM(CLEAN(UPPER(H40)))</f>
        <v>ACTIVE</v>
      </c>
    </row>
    <row r="41" spans="1:22" x14ac:dyDescent="0.35">
      <c r="A41" s="4" t="s">
        <v>101</v>
      </c>
      <c r="B41" s="6" t="s">
        <v>90</v>
      </c>
      <c r="C41" s="6" t="s">
        <v>46</v>
      </c>
      <c r="D41" s="6" t="s">
        <v>33</v>
      </c>
      <c r="E41" s="8">
        <v>42987</v>
      </c>
      <c r="F41" s="10">
        <v>57514</v>
      </c>
      <c r="G41">
        <v>80</v>
      </c>
      <c r="H41" t="s">
        <v>100</v>
      </c>
      <c r="J41" s="4" t="str">
        <f>TRIM(CLEAN(A41))</f>
        <v>EMP027</v>
      </c>
      <c r="K41" s="6" t="str">
        <f>TRIM(CLEAN(PROPER(B41)))</f>
        <v>Sarah</v>
      </c>
      <c r="L41" s="6" t="str">
        <f>TRIM(CLEAN(PROPER(C41)))</f>
        <v>Miller</v>
      </c>
      <c r="M41" s="22" t="str">
        <f t="shared" si="0"/>
        <v>Sarah Miller</v>
      </c>
      <c r="N41" s="22" t="str">
        <f>_xlfn.XLOOKUP(O41,Lookup_Departments!$A$2:$A$7,Lookup_Departments!$B$2:$B$7,"Not Found")</f>
        <v>Operations</v>
      </c>
      <c r="O41" s="4" t="str">
        <f>IFERROR(VLOOKUP(D41,Lookup_Departments!$A$2:$B$7,1,FALSE),"Invalid")</f>
        <v>OPS06</v>
      </c>
      <c r="P41" s="8">
        <f t="shared" si="1"/>
        <v>42987</v>
      </c>
      <c r="Q41" s="17">
        <f t="shared" ca="1" si="2"/>
        <v>8</v>
      </c>
      <c r="R41" s="14">
        <f>IF(F41="",AVERAGEIF($D$2:$D$151,D41,$F$2:$F$151),F41)</f>
        <v>57514</v>
      </c>
      <c r="S41" s="17">
        <f>IF(G41="",AVERAGE($G$2:$G$158),G41)</f>
        <v>80</v>
      </c>
      <c r="T41" s="6" t="str">
        <f>_xlfn.XLOOKUP(S41,Lookup_Performance!$A$2:$A$6,Lookup_Performance!$C$2:$C$6,"Not Found",-1)</f>
        <v>Achieving</v>
      </c>
      <c r="U41" s="24">
        <f>_xlfn.XLOOKUP(S41,Lookup_Performance!$A$2:$A$6,Lookup_Performance!$D$2:$D$6,"Not Found",-1)</f>
        <v>0.05</v>
      </c>
      <c r="V41" s="6" t="str">
        <f>TRIM(CLEAN(UPPER(H41)))</f>
        <v>LEFT</v>
      </c>
    </row>
    <row r="42" spans="1:22" x14ac:dyDescent="0.35">
      <c r="A42" s="4" t="s">
        <v>102</v>
      </c>
      <c r="B42" s="6" t="s">
        <v>9</v>
      </c>
      <c r="C42" s="6" t="s">
        <v>35</v>
      </c>
      <c r="D42" s="6" t="s">
        <v>43</v>
      </c>
      <c r="E42" s="8">
        <v>43181</v>
      </c>
      <c r="F42" s="10">
        <v>86245</v>
      </c>
      <c r="G42"/>
      <c r="H42" t="s">
        <v>12</v>
      </c>
      <c r="J42" s="4" t="str">
        <f>TRIM(CLEAN(A42))</f>
        <v>EMP136</v>
      </c>
      <c r="K42" s="6" t="str">
        <f>TRIM(CLEAN(PROPER(B42)))</f>
        <v>Emily</v>
      </c>
      <c r="L42" s="6" t="str">
        <f>TRIM(CLEAN(PROPER(C42)))</f>
        <v>Wilson</v>
      </c>
      <c r="M42" s="22" t="str">
        <f t="shared" si="0"/>
        <v>Emily Wilson</v>
      </c>
      <c r="N42" s="22" t="str">
        <f>_xlfn.XLOOKUP(O42,Lookup_Departments!$A$2:$A$7,Lookup_Departments!$B$2:$B$7,"Not Found")</f>
        <v>Sales</v>
      </c>
      <c r="O42" s="4" t="str">
        <f>IFERROR(VLOOKUP(D42,Lookup_Departments!$A$2:$B$7,1,FALSE),"Invalid")</f>
        <v>SAL05</v>
      </c>
      <c r="P42" s="8">
        <f t="shared" si="1"/>
        <v>43181</v>
      </c>
      <c r="Q42" s="17">
        <f t="shared" ca="1" si="2"/>
        <v>8</v>
      </c>
      <c r="R42" s="14">
        <f>IF(F42="",AVERAGEIF($D$2:$D$151,D42,$F$2:$F$151),F42)</f>
        <v>86245</v>
      </c>
      <c r="S42" s="17">
        <f>IF(G42="",AVERAGE($G$2:$G$158),G42)</f>
        <v>68.219858156028366</v>
      </c>
      <c r="T42" s="6" t="str">
        <f>_xlfn.XLOOKUP(S42,Lookup_Performance!$A$2:$A$6,Lookup_Performance!$C$2:$C$6,"Not Found",-1)</f>
        <v>Developing</v>
      </c>
      <c r="U42" s="24">
        <f>_xlfn.XLOOKUP(S42,Lookup_Performance!$A$2:$A$6,Lookup_Performance!$D$2:$D$6,"Not Found",-1)</f>
        <v>0.02</v>
      </c>
      <c r="V42" s="6" t="str">
        <f>TRIM(CLEAN(UPPER(H42)))</f>
        <v>ACTIVE</v>
      </c>
    </row>
    <row r="43" spans="1:22" x14ac:dyDescent="0.35">
      <c r="A43" s="4" t="s">
        <v>103</v>
      </c>
      <c r="B43" s="6" t="s">
        <v>104</v>
      </c>
      <c r="C43" s="6" t="s">
        <v>15</v>
      </c>
      <c r="D43" s="6" t="s">
        <v>43</v>
      </c>
      <c r="E43" s="8">
        <v>43958</v>
      </c>
      <c r="F43" s="10">
        <v>52407</v>
      </c>
      <c r="G43">
        <v>71</v>
      </c>
      <c r="H43" t="s">
        <v>22</v>
      </c>
      <c r="J43" s="4" t="str">
        <f>TRIM(CLEAN(A43))</f>
        <v>EMP079</v>
      </c>
      <c r="K43" s="6" t="str">
        <f>TRIM(CLEAN(PROPER(B43)))</f>
        <v>David</v>
      </c>
      <c r="L43" s="6" t="str">
        <f>TRIM(CLEAN(PROPER(C43)))</f>
        <v>Hernandez</v>
      </c>
      <c r="M43" s="22" t="str">
        <f t="shared" si="0"/>
        <v>David Hernandez</v>
      </c>
      <c r="N43" s="22" t="str">
        <f>_xlfn.XLOOKUP(O43,Lookup_Departments!$A$2:$A$7,Lookup_Departments!$B$2:$B$7,"Not Found")</f>
        <v>Sales</v>
      </c>
      <c r="O43" s="4" t="str">
        <f>IFERROR(VLOOKUP(D43,Lookup_Departments!$A$2:$B$7,1,FALSE),"Invalid")</f>
        <v>SAL05</v>
      </c>
      <c r="P43" s="8">
        <f t="shared" si="1"/>
        <v>43958</v>
      </c>
      <c r="Q43" s="17">
        <f t="shared" ca="1" si="2"/>
        <v>6</v>
      </c>
      <c r="R43" s="14">
        <f>IF(F43="",AVERAGEIF($D$2:$D$151,D43,$F$2:$F$151),F43)</f>
        <v>52407</v>
      </c>
      <c r="S43" s="17">
        <f>IF(G43="",AVERAGE($G$2:$G$158),G43)</f>
        <v>71</v>
      </c>
      <c r="T43" s="6" t="str">
        <f>_xlfn.XLOOKUP(S43,Lookup_Performance!$A$2:$A$6,Lookup_Performance!$C$2:$C$6,"Not Found",-1)</f>
        <v>Achieving</v>
      </c>
      <c r="U43" s="24">
        <f>_xlfn.XLOOKUP(S43,Lookup_Performance!$A$2:$A$6,Lookup_Performance!$D$2:$D$6,"Not Found",-1)</f>
        <v>0.05</v>
      </c>
      <c r="V43" s="6" t="str">
        <f>TRIM(CLEAN(UPPER(H43)))</f>
        <v>LEFT</v>
      </c>
    </row>
    <row r="44" spans="1:22" x14ac:dyDescent="0.35">
      <c r="A44" s="4" t="s">
        <v>105</v>
      </c>
      <c r="B44" s="6" t="s">
        <v>64</v>
      </c>
      <c r="C44" s="6" t="s">
        <v>29</v>
      </c>
      <c r="D44" s="6" t="s">
        <v>33</v>
      </c>
      <c r="E44" s="8">
        <v>43549</v>
      </c>
      <c r="F44" s="10">
        <v>66606</v>
      </c>
      <c r="G44">
        <v>55</v>
      </c>
      <c r="H44" t="s">
        <v>12</v>
      </c>
      <c r="J44" s="4" t="str">
        <f>TRIM(CLEAN(A44))</f>
        <v>EMP149</v>
      </c>
      <c r="K44" s="6" t="str">
        <f>TRIM(CLEAN(PROPER(B44)))</f>
        <v>James</v>
      </c>
      <c r="L44" s="6" t="str">
        <f>TRIM(CLEAN(PROPER(C44)))</f>
        <v>Smith</v>
      </c>
      <c r="M44" s="22" t="str">
        <f t="shared" si="0"/>
        <v>James Smith</v>
      </c>
      <c r="N44" s="22" t="str">
        <f>_xlfn.XLOOKUP(O44,Lookup_Departments!$A$2:$A$7,Lookup_Departments!$B$2:$B$7,"Not Found")</f>
        <v>Operations</v>
      </c>
      <c r="O44" s="4" t="str">
        <f>IFERROR(VLOOKUP(D44,Lookup_Departments!$A$2:$B$7,1,FALSE),"Invalid")</f>
        <v>OPS06</v>
      </c>
      <c r="P44" s="8">
        <f t="shared" si="1"/>
        <v>43549</v>
      </c>
      <c r="Q44" s="17">
        <f t="shared" ca="1" si="2"/>
        <v>7</v>
      </c>
      <c r="R44" s="14">
        <f>IF(F44="",AVERAGEIF($D$2:$D$151,D44,$F$2:$F$151),F44)</f>
        <v>66606</v>
      </c>
      <c r="S44" s="17">
        <f>IF(G44="",AVERAGE($G$2:$G$158),G44)</f>
        <v>55</v>
      </c>
      <c r="T44" s="6" t="str">
        <f>_xlfn.XLOOKUP(S44,Lookup_Performance!$A$2:$A$6,Lookup_Performance!$C$2:$C$6,"Not Found",-1)</f>
        <v>Developing</v>
      </c>
      <c r="U44" s="24">
        <f>_xlfn.XLOOKUP(S44,Lookup_Performance!$A$2:$A$6,Lookup_Performance!$D$2:$D$6,"Not Found",-1)</f>
        <v>0.02</v>
      </c>
      <c r="V44" s="6" t="str">
        <f>TRIM(CLEAN(UPPER(H44)))</f>
        <v>ACTIVE</v>
      </c>
    </row>
    <row r="45" spans="1:22" x14ac:dyDescent="0.35">
      <c r="A45" s="4" t="s">
        <v>108</v>
      </c>
      <c r="B45" s="6" t="s">
        <v>90</v>
      </c>
      <c r="C45" s="6" t="s">
        <v>53</v>
      </c>
      <c r="D45" s="6" t="s">
        <v>11</v>
      </c>
      <c r="E45" s="8">
        <v>43686</v>
      </c>
      <c r="F45" s="10">
        <v>81896</v>
      </c>
      <c r="G45">
        <v>93</v>
      </c>
      <c r="H45" t="s">
        <v>107</v>
      </c>
      <c r="J45" s="4" t="str">
        <f>TRIM(CLEAN(A45))</f>
        <v>EMP037</v>
      </c>
      <c r="K45" s="6" t="str">
        <f>TRIM(CLEAN(PROPER(B45)))</f>
        <v>Sarah</v>
      </c>
      <c r="L45" s="6" t="str">
        <f>TRIM(CLEAN(PROPER(C45)))</f>
        <v>Williams</v>
      </c>
      <c r="M45" s="22" t="str">
        <f t="shared" si="0"/>
        <v>Sarah Williams</v>
      </c>
      <c r="N45" s="22" t="str">
        <f>_xlfn.XLOOKUP(O45,Lookup_Departments!$A$2:$A$7,Lookup_Departments!$B$2:$B$7,"Not Found")</f>
        <v>Information Technology</v>
      </c>
      <c r="O45" s="4" t="str">
        <f>IFERROR(VLOOKUP(D45,Lookup_Departments!$A$2:$B$7,1,FALSE),"Invalid")</f>
        <v>IT02</v>
      </c>
      <c r="P45" s="8">
        <f t="shared" si="1"/>
        <v>43686</v>
      </c>
      <c r="Q45" s="17">
        <f t="shared" ca="1" si="2"/>
        <v>6</v>
      </c>
      <c r="R45" s="14">
        <f>IF(F45="",AVERAGEIF($D$2:$D$151,D45,$F$2:$F$151),F45)</f>
        <v>81896</v>
      </c>
      <c r="S45" s="17">
        <f>IF(G45="",AVERAGE($G$2:$G$158),G45)</f>
        <v>93</v>
      </c>
      <c r="T45" s="6" t="str">
        <f>_xlfn.XLOOKUP(S45,Lookup_Performance!$A$2:$A$6,Lookup_Performance!$C$2:$C$6,"Not Found",-1)</f>
        <v>Exceeding</v>
      </c>
      <c r="U45" s="24">
        <f>_xlfn.XLOOKUP(S45,Lookup_Performance!$A$2:$A$6,Lookup_Performance!$D$2:$D$6,"Not Found",-1)</f>
        <v>0.08</v>
      </c>
      <c r="V45" s="6" t="str">
        <f>TRIM(CLEAN(UPPER(H45)))</f>
        <v>RESIGNED</v>
      </c>
    </row>
    <row r="46" spans="1:22" x14ac:dyDescent="0.35">
      <c r="A46" s="4" t="s">
        <v>109</v>
      </c>
      <c r="B46" s="6" t="s">
        <v>69</v>
      </c>
      <c r="C46" s="6" t="s">
        <v>67</v>
      </c>
      <c r="D46" s="6" t="s">
        <v>43</v>
      </c>
      <c r="E46" s="8" t="s">
        <v>110</v>
      </c>
      <c r="F46" s="10">
        <v>78402</v>
      </c>
      <c r="G46">
        <v>79</v>
      </c>
      <c r="H46" t="s">
        <v>107</v>
      </c>
      <c r="J46" s="4" t="str">
        <f>TRIM(CLEAN(A46))</f>
        <v>EMP077</v>
      </c>
      <c r="K46" s="6" t="str">
        <f>TRIM(CLEAN(PROPER(B46)))</f>
        <v>Amanda</v>
      </c>
      <c r="L46" s="6" t="str">
        <f>TRIM(CLEAN(PROPER(C46)))</f>
        <v>Lopez</v>
      </c>
      <c r="M46" s="22" t="str">
        <f t="shared" si="0"/>
        <v>Amanda Lopez</v>
      </c>
      <c r="N46" s="22" t="str">
        <f>_xlfn.XLOOKUP(O46,Lookup_Departments!$A$2:$A$7,Lookup_Departments!$B$2:$B$7,"Not Found")</f>
        <v>Sales</v>
      </c>
      <c r="O46" s="4" t="str">
        <f>IFERROR(VLOOKUP(D46,Lookup_Departments!$A$2:$B$7,1,FALSE),"Invalid")</f>
        <v>SAL05</v>
      </c>
      <c r="P46" s="8">
        <f t="shared" si="1"/>
        <v>42565</v>
      </c>
      <c r="Q46" s="17">
        <f t="shared" ca="1" si="2"/>
        <v>9</v>
      </c>
      <c r="R46" s="14">
        <f>IF(F46="",AVERAGEIF($D$2:$D$151,D46,$F$2:$F$151),F46)</f>
        <v>78402</v>
      </c>
      <c r="S46" s="17">
        <f>IF(G46="",AVERAGE($G$2:$G$158),G46)</f>
        <v>79</v>
      </c>
      <c r="T46" s="6" t="str">
        <f>_xlfn.XLOOKUP(S46,Lookup_Performance!$A$2:$A$6,Lookup_Performance!$C$2:$C$6,"Not Found",-1)</f>
        <v>Achieving</v>
      </c>
      <c r="U46" s="24">
        <f>_xlfn.XLOOKUP(S46,Lookup_Performance!$A$2:$A$6,Lookup_Performance!$D$2:$D$6,"Not Found",-1)</f>
        <v>0.05</v>
      </c>
      <c r="V46" s="6" t="str">
        <f>TRIM(CLEAN(UPPER(H46)))</f>
        <v>RESIGNED</v>
      </c>
    </row>
    <row r="47" spans="1:22" x14ac:dyDescent="0.35">
      <c r="A47" s="4" t="s">
        <v>111</v>
      </c>
      <c r="B47" s="6" t="s">
        <v>28</v>
      </c>
      <c r="C47" s="6" t="s">
        <v>67</v>
      </c>
      <c r="D47" s="6" t="s">
        <v>33</v>
      </c>
      <c r="E47" s="8">
        <v>42647</v>
      </c>
      <c r="F47" s="10">
        <v>105498</v>
      </c>
      <c r="G47">
        <v>54</v>
      </c>
      <c r="H47" t="s">
        <v>17</v>
      </c>
      <c r="J47" s="4" t="str">
        <f>TRIM(CLEAN(A47))</f>
        <v>EMP023</v>
      </c>
      <c r="K47" s="6" t="str">
        <f>TRIM(CLEAN(PROPER(B47)))</f>
        <v>Thomas</v>
      </c>
      <c r="L47" s="6" t="str">
        <f>TRIM(CLEAN(PROPER(C47)))</f>
        <v>Lopez</v>
      </c>
      <c r="M47" s="22" t="str">
        <f t="shared" si="0"/>
        <v>Thomas Lopez</v>
      </c>
      <c r="N47" s="22" t="str">
        <f>_xlfn.XLOOKUP(O47,Lookup_Departments!$A$2:$A$7,Lookup_Departments!$B$2:$B$7,"Not Found")</f>
        <v>Operations</v>
      </c>
      <c r="O47" s="4" t="str">
        <f>IFERROR(VLOOKUP(D47,Lookup_Departments!$A$2:$B$7,1,FALSE),"Invalid")</f>
        <v>OPS06</v>
      </c>
      <c r="P47" s="8">
        <f t="shared" si="1"/>
        <v>42647</v>
      </c>
      <c r="Q47" s="17">
        <f t="shared" ca="1" si="2"/>
        <v>9</v>
      </c>
      <c r="R47" s="14">
        <f>IF(F47="",AVERAGEIF($D$2:$D$151,D47,$F$2:$F$151),F47)</f>
        <v>105498</v>
      </c>
      <c r="S47" s="17">
        <f>IF(G47="",AVERAGE($G$2:$G$158),G47)</f>
        <v>54</v>
      </c>
      <c r="T47" s="6" t="str">
        <f>_xlfn.XLOOKUP(S47,Lookup_Performance!$A$2:$A$6,Lookup_Performance!$C$2:$C$6,"Not Found",-1)</f>
        <v>Developing</v>
      </c>
      <c r="U47" s="24">
        <f>_xlfn.XLOOKUP(S47,Lookup_Performance!$A$2:$A$6,Lookup_Performance!$D$2:$D$6,"Not Found",-1)</f>
        <v>0.02</v>
      </c>
      <c r="V47" s="6" t="str">
        <f>TRIM(CLEAN(UPPER(H47)))</f>
        <v>ACTIVE</v>
      </c>
    </row>
    <row r="48" spans="1:22" x14ac:dyDescent="0.35">
      <c r="A48" s="4" t="s">
        <v>112</v>
      </c>
      <c r="B48" s="6" t="s">
        <v>97</v>
      </c>
      <c r="C48" s="6" t="s">
        <v>32</v>
      </c>
      <c r="D48" s="6" t="s">
        <v>16</v>
      </c>
      <c r="E48" s="8">
        <v>43656</v>
      </c>
      <c r="F48" s="10">
        <v>91749</v>
      </c>
      <c r="G48">
        <v>76</v>
      </c>
      <c r="H48" t="s">
        <v>12</v>
      </c>
      <c r="J48" s="4" t="str">
        <f>TRIM(CLEAN(A48))</f>
        <v>EMP133</v>
      </c>
      <c r="K48" s="6" t="str">
        <f>TRIM(CLEAN(PROPER(B48)))</f>
        <v>Melissa</v>
      </c>
      <c r="L48" s="6" t="str">
        <f>TRIM(CLEAN(PROPER(C48)))</f>
        <v>Johnson</v>
      </c>
      <c r="M48" s="22" t="str">
        <f t="shared" si="0"/>
        <v>Melissa Johnson</v>
      </c>
      <c r="N48" s="22" t="str">
        <f>_xlfn.XLOOKUP(O48,Lookup_Departments!$A$2:$A$7,Lookup_Departments!$B$2:$B$7,"Not Found")</f>
        <v>Marketing</v>
      </c>
      <c r="O48" s="4" t="str">
        <f>IFERROR(VLOOKUP(D48,Lookup_Departments!$A$2:$B$7,1,FALSE),"Invalid")</f>
        <v>MKT04</v>
      </c>
      <c r="P48" s="8">
        <f t="shared" si="1"/>
        <v>43656</v>
      </c>
      <c r="Q48" s="17">
        <f t="shared" ca="1" si="2"/>
        <v>7</v>
      </c>
      <c r="R48" s="14">
        <f>IF(F48="",AVERAGEIF($D$2:$D$151,D48,$F$2:$F$151),F48)</f>
        <v>91749</v>
      </c>
      <c r="S48" s="17">
        <f>IF(G48="",AVERAGE($G$2:$G$158),G48)</f>
        <v>76</v>
      </c>
      <c r="T48" s="6" t="str">
        <f>_xlfn.XLOOKUP(S48,Lookup_Performance!$A$2:$A$6,Lookup_Performance!$C$2:$C$6,"Not Found",-1)</f>
        <v>Achieving</v>
      </c>
      <c r="U48" s="24">
        <f>_xlfn.XLOOKUP(S48,Lookup_Performance!$A$2:$A$6,Lookup_Performance!$D$2:$D$6,"Not Found",-1)</f>
        <v>0.05</v>
      </c>
      <c r="V48" s="6" t="str">
        <f>TRIM(CLEAN(UPPER(H48)))</f>
        <v>ACTIVE</v>
      </c>
    </row>
    <row r="49" spans="1:22" x14ac:dyDescent="0.35">
      <c r="A49" s="4" t="s">
        <v>113</v>
      </c>
      <c r="B49" s="6" t="s">
        <v>69</v>
      </c>
      <c r="C49" s="6" t="s">
        <v>32</v>
      </c>
      <c r="D49" s="6" t="s">
        <v>33</v>
      </c>
      <c r="E49" s="8">
        <v>44437</v>
      </c>
      <c r="F49" s="10">
        <v>99935</v>
      </c>
      <c r="G49">
        <v>72</v>
      </c>
      <c r="H49" t="s">
        <v>100</v>
      </c>
      <c r="J49" s="4" t="str">
        <f>TRIM(CLEAN(A49))</f>
        <v>EMP141</v>
      </c>
      <c r="K49" s="6" t="str">
        <f>TRIM(CLEAN(PROPER(B49)))</f>
        <v>Amanda</v>
      </c>
      <c r="L49" s="6" t="str">
        <f>TRIM(CLEAN(PROPER(C49)))</f>
        <v>Johnson</v>
      </c>
      <c r="M49" s="22" t="str">
        <f t="shared" si="0"/>
        <v>Amanda Johnson</v>
      </c>
      <c r="N49" s="22" t="str">
        <f>_xlfn.XLOOKUP(O49,Lookup_Departments!$A$2:$A$7,Lookup_Departments!$B$2:$B$7,"Not Found")</f>
        <v>Operations</v>
      </c>
      <c r="O49" s="4" t="str">
        <f>IFERROR(VLOOKUP(D49,Lookup_Departments!$A$2:$B$7,1,FALSE),"Invalid")</f>
        <v>OPS06</v>
      </c>
      <c r="P49" s="8">
        <f t="shared" si="1"/>
        <v>44437</v>
      </c>
      <c r="Q49" s="17">
        <f t="shared" ca="1" si="2"/>
        <v>4</v>
      </c>
      <c r="R49" s="14">
        <f>IF(F49="",AVERAGEIF($D$2:$D$151,D49,$F$2:$F$151),F49)</f>
        <v>99935</v>
      </c>
      <c r="S49" s="17">
        <f>IF(G49="",AVERAGE($G$2:$G$158),G49)</f>
        <v>72</v>
      </c>
      <c r="T49" s="6" t="str">
        <f>_xlfn.XLOOKUP(S49,Lookup_Performance!$A$2:$A$6,Lookup_Performance!$C$2:$C$6,"Not Found",-1)</f>
        <v>Achieving</v>
      </c>
      <c r="U49" s="24">
        <f>_xlfn.XLOOKUP(S49,Lookup_Performance!$A$2:$A$6,Lookup_Performance!$D$2:$D$6,"Not Found",-1)</f>
        <v>0.05</v>
      </c>
      <c r="V49" s="6" t="str">
        <f>TRIM(CLEAN(UPPER(H49)))</f>
        <v>LEFT</v>
      </c>
    </row>
    <row r="50" spans="1:22" x14ac:dyDescent="0.35">
      <c r="A50" s="4" t="s">
        <v>114</v>
      </c>
      <c r="B50" s="6" t="s">
        <v>24</v>
      </c>
      <c r="C50" s="6" t="s">
        <v>62</v>
      </c>
      <c r="D50" s="6" t="s">
        <v>11</v>
      </c>
      <c r="E50" s="8">
        <v>42761</v>
      </c>
      <c r="F50" s="10">
        <v>83531</v>
      </c>
      <c r="G50">
        <v>84</v>
      </c>
      <c r="H50" t="s">
        <v>107</v>
      </c>
      <c r="J50" s="4" t="str">
        <f>TRIM(CLEAN(A50))</f>
        <v>EMP012</v>
      </c>
      <c r="K50" s="6" t="str">
        <f>TRIM(CLEAN(PROPER(B50)))</f>
        <v>John</v>
      </c>
      <c r="L50" s="6" t="str">
        <f>TRIM(CLEAN(PROPER(C50)))</f>
        <v>Davis</v>
      </c>
      <c r="M50" s="22" t="str">
        <f t="shared" si="0"/>
        <v>John Davis</v>
      </c>
      <c r="N50" s="22" t="str">
        <f>_xlfn.XLOOKUP(O50,Lookup_Departments!$A$2:$A$7,Lookup_Departments!$B$2:$B$7,"Not Found")</f>
        <v>Information Technology</v>
      </c>
      <c r="O50" s="4" t="str">
        <f>IFERROR(VLOOKUP(D50,Lookup_Departments!$A$2:$B$7,1,FALSE),"Invalid")</f>
        <v>IT02</v>
      </c>
      <c r="P50" s="8">
        <f t="shared" si="1"/>
        <v>42761</v>
      </c>
      <c r="Q50" s="17">
        <f t="shared" ca="1" si="2"/>
        <v>9</v>
      </c>
      <c r="R50" s="14">
        <f>IF(F50="",AVERAGEIF($D$2:$D$151,D50,$F$2:$F$151),F50)</f>
        <v>83531</v>
      </c>
      <c r="S50" s="17">
        <f>IF(G50="",AVERAGE($G$2:$G$158),G50)</f>
        <v>84</v>
      </c>
      <c r="T50" s="6" t="str">
        <f>_xlfn.XLOOKUP(S50,Lookup_Performance!$A$2:$A$6,Lookup_Performance!$C$2:$C$6,"Not Found",-1)</f>
        <v>Achieving</v>
      </c>
      <c r="U50" s="24">
        <f>_xlfn.XLOOKUP(S50,Lookup_Performance!$A$2:$A$6,Lookup_Performance!$D$2:$D$6,"Not Found",-1)</f>
        <v>0.05</v>
      </c>
      <c r="V50" s="6" t="str">
        <f>TRIM(CLEAN(UPPER(H50)))</f>
        <v>RESIGNED</v>
      </c>
    </row>
    <row r="51" spans="1:22" x14ac:dyDescent="0.35">
      <c r="A51" s="4" t="s">
        <v>115</v>
      </c>
      <c r="B51" s="6" t="s">
        <v>64</v>
      </c>
      <c r="C51" s="6" t="s">
        <v>32</v>
      </c>
      <c r="D51" s="6" t="s">
        <v>16</v>
      </c>
      <c r="E51" s="8">
        <v>43981</v>
      </c>
      <c r="F51" s="10">
        <v>75023</v>
      </c>
      <c r="G51">
        <v>30</v>
      </c>
      <c r="H51" t="s">
        <v>100</v>
      </c>
      <c r="J51" s="4" t="str">
        <f>TRIM(CLEAN(A51))</f>
        <v>EMP080</v>
      </c>
      <c r="K51" s="6" t="str">
        <f>TRIM(CLEAN(PROPER(B51)))</f>
        <v>James</v>
      </c>
      <c r="L51" s="6" t="str">
        <f>TRIM(CLEAN(PROPER(C51)))</f>
        <v>Johnson</v>
      </c>
      <c r="M51" s="22" t="str">
        <f t="shared" si="0"/>
        <v>James Johnson</v>
      </c>
      <c r="N51" s="22" t="str">
        <f>_xlfn.XLOOKUP(O51,Lookup_Departments!$A$2:$A$7,Lookup_Departments!$B$2:$B$7,"Not Found")</f>
        <v>Marketing</v>
      </c>
      <c r="O51" s="4" t="str">
        <f>IFERROR(VLOOKUP(D51,Lookup_Departments!$A$2:$B$7,1,FALSE),"Invalid")</f>
        <v>MKT04</v>
      </c>
      <c r="P51" s="8">
        <f t="shared" si="1"/>
        <v>43981</v>
      </c>
      <c r="Q51" s="17">
        <f t="shared" ca="1" si="2"/>
        <v>6</v>
      </c>
      <c r="R51" s="14">
        <f>IF(F51="",AVERAGEIF($D$2:$D$151,D51,$F$2:$F$151),F51)</f>
        <v>75023</v>
      </c>
      <c r="S51" s="17">
        <f>IF(G51="",AVERAGE($G$2:$G$158),G51)</f>
        <v>30</v>
      </c>
      <c r="T51" s="6" t="str">
        <f>_xlfn.XLOOKUP(S51,Lookup_Performance!$A$2:$A$6,Lookup_Performance!$C$2:$C$6,"Not Found",-1)</f>
        <v>Needs Improvement</v>
      </c>
      <c r="U51" s="24">
        <f>_xlfn.XLOOKUP(S51,Lookup_Performance!$A$2:$A$6,Lookup_Performance!$D$2:$D$6,"Not Found",-1)</f>
        <v>0</v>
      </c>
      <c r="V51" s="6" t="str">
        <f>TRIM(CLEAN(UPPER(H51)))</f>
        <v>LEFT</v>
      </c>
    </row>
    <row r="52" spans="1:22" x14ac:dyDescent="0.35">
      <c r="A52" s="4" t="s">
        <v>117</v>
      </c>
      <c r="B52" s="6" t="s">
        <v>52</v>
      </c>
      <c r="C52" s="6" t="s">
        <v>62</v>
      </c>
      <c r="D52" s="6" t="s">
        <v>92</v>
      </c>
      <c r="E52" s="8">
        <v>44612</v>
      </c>
      <c r="F52" s="10">
        <v>93290</v>
      </c>
      <c r="G52"/>
      <c r="H52" t="s">
        <v>17</v>
      </c>
      <c r="J52" s="4" t="str">
        <f>TRIM(CLEAN(A52))</f>
        <v>EMP069</v>
      </c>
      <c r="K52" s="6" t="str">
        <f>TRIM(CLEAN(PROPER(B52)))</f>
        <v>Jane</v>
      </c>
      <c r="L52" s="6" t="str">
        <f>TRIM(CLEAN(PROPER(C52)))</f>
        <v>Davis</v>
      </c>
      <c r="M52" s="22" t="str">
        <f t="shared" si="0"/>
        <v>Jane Davis</v>
      </c>
      <c r="N52" s="22" t="str">
        <f>_xlfn.XLOOKUP(O52,Lookup_Departments!$A$2:$A$7,Lookup_Departments!$B$2:$B$7,"Not Found")</f>
        <v>Human Resources</v>
      </c>
      <c r="O52" s="4" t="str">
        <f>IFERROR(VLOOKUP(D52,Lookup_Departments!$A$2:$B$7,1,FALSE),"Invalid")</f>
        <v>HR01</v>
      </c>
      <c r="P52" s="8">
        <f t="shared" si="1"/>
        <v>44612</v>
      </c>
      <c r="Q52" s="17">
        <f t="shared" ca="1" si="2"/>
        <v>4</v>
      </c>
      <c r="R52" s="14">
        <f>IF(F52="",AVERAGEIF($D$2:$D$151,D52,$F$2:$F$151),F52)</f>
        <v>93290</v>
      </c>
      <c r="S52" s="17">
        <f>IF(G52="",AVERAGE($G$2:$G$158),G52)</f>
        <v>68.219858156028366</v>
      </c>
      <c r="T52" s="6" t="str">
        <f>_xlfn.XLOOKUP(S52,Lookup_Performance!$A$2:$A$6,Lookup_Performance!$C$2:$C$6,"Not Found",-1)</f>
        <v>Developing</v>
      </c>
      <c r="U52" s="24">
        <f>_xlfn.XLOOKUP(S52,Lookup_Performance!$A$2:$A$6,Lookup_Performance!$D$2:$D$6,"Not Found",-1)</f>
        <v>0.02</v>
      </c>
      <c r="V52" s="6" t="str">
        <f>TRIM(CLEAN(UPPER(H52)))</f>
        <v>ACTIVE</v>
      </c>
    </row>
    <row r="53" spans="1:22" x14ac:dyDescent="0.35">
      <c r="A53" s="4" t="s">
        <v>118</v>
      </c>
      <c r="B53" s="6" t="s">
        <v>14</v>
      </c>
      <c r="C53" s="6" t="s">
        <v>62</v>
      </c>
      <c r="D53" s="6" t="s">
        <v>33</v>
      </c>
      <c r="E53" s="8">
        <v>42628</v>
      </c>
      <c r="F53" s="10">
        <v>115527</v>
      </c>
      <c r="G53">
        <v>53</v>
      </c>
      <c r="H53" t="s">
        <v>17</v>
      </c>
      <c r="J53" s="4" t="str">
        <f>TRIM(CLEAN(A53))</f>
        <v>EMP150</v>
      </c>
      <c r="K53" s="6" t="str">
        <f>TRIM(CLEAN(PROPER(B53)))</f>
        <v>Richard</v>
      </c>
      <c r="L53" s="6" t="str">
        <f>TRIM(CLEAN(PROPER(C53)))</f>
        <v>Davis</v>
      </c>
      <c r="M53" s="22" t="str">
        <f t="shared" si="0"/>
        <v>Richard Davis</v>
      </c>
      <c r="N53" s="22" t="str">
        <f>_xlfn.XLOOKUP(O53,Lookup_Departments!$A$2:$A$7,Lookup_Departments!$B$2:$B$7,"Not Found")</f>
        <v>Operations</v>
      </c>
      <c r="O53" s="4" t="str">
        <f>IFERROR(VLOOKUP(D53,Lookup_Departments!$A$2:$B$7,1,FALSE),"Invalid")</f>
        <v>OPS06</v>
      </c>
      <c r="P53" s="8">
        <f t="shared" si="1"/>
        <v>42628</v>
      </c>
      <c r="Q53" s="17">
        <f t="shared" ca="1" si="2"/>
        <v>9</v>
      </c>
      <c r="R53" s="14">
        <f>IF(F53="",AVERAGEIF($D$2:$D$151,D53,$F$2:$F$151),F53)</f>
        <v>115527</v>
      </c>
      <c r="S53" s="17">
        <f>IF(G53="",AVERAGE($G$2:$G$158),G53)</f>
        <v>53</v>
      </c>
      <c r="T53" s="6" t="str">
        <f>_xlfn.XLOOKUP(S53,Lookup_Performance!$A$2:$A$6,Lookup_Performance!$C$2:$C$6,"Not Found",-1)</f>
        <v>Developing</v>
      </c>
      <c r="U53" s="24">
        <f>_xlfn.XLOOKUP(S53,Lookup_Performance!$A$2:$A$6,Lookup_Performance!$D$2:$D$6,"Not Found",-1)</f>
        <v>0.02</v>
      </c>
      <c r="V53" s="6" t="str">
        <f>TRIM(CLEAN(UPPER(H53)))</f>
        <v>ACTIVE</v>
      </c>
    </row>
    <row r="54" spans="1:22" x14ac:dyDescent="0.35">
      <c r="A54" s="4" t="s">
        <v>119</v>
      </c>
      <c r="B54" s="6" t="s">
        <v>28</v>
      </c>
      <c r="C54" s="6" t="s">
        <v>40</v>
      </c>
      <c r="D54" s="6" t="s">
        <v>26</v>
      </c>
      <c r="E54" s="8">
        <v>43656</v>
      </c>
      <c r="F54" s="10">
        <v>55920</v>
      </c>
      <c r="G54">
        <v>63</v>
      </c>
      <c r="H54" t="s">
        <v>107</v>
      </c>
      <c r="J54" s="4" t="str">
        <f>TRIM(CLEAN(A54))</f>
        <v>EMP028</v>
      </c>
      <c r="K54" s="6" t="str">
        <f>TRIM(CLEAN(PROPER(B54)))</f>
        <v>Thomas</v>
      </c>
      <c r="L54" s="6" t="str">
        <f>TRIM(CLEAN(PROPER(C54)))</f>
        <v>Rodriguez</v>
      </c>
      <c r="M54" s="22" t="str">
        <f t="shared" si="0"/>
        <v>Thomas Rodriguez</v>
      </c>
      <c r="N54" s="22" t="str">
        <f>_xlfn.XLOOKUP(O54,Lookup_Departments!$A$2:$A$7,Lookup_Departments!$B$2:$B$7,"Not Found")</f>
        <v>Finance</v>
      </c>
      <c r="O54" s="4" t="str">
        <f>IFERROR(VLOOKUP(D54,Lookup_Departments!$A$2:$B$7,1,FALSE),"Invalid")</f>
        <v>FIN03</v>
      </c>
      <c r="P54" s="8">
        <f t="shared" si="1"/>
        <v>43656</v>
      </c>
      <c r="Q54" s="17">
        <f t="shared" ca="1" si="2"/>
        <v>7</v>
      </c>
      <c r="R54" s="14">
        <f>IF(F54="",AVERAGEIF($D$2:$D$151,D54,$F$2:$F$151),F54)</f>
        <v>55920</v>
      </c>
      <c r="S54" s="17">
        <f>IF(G54="",AVERAGE($G$2:$G$158),G54)</f>
        <v>63</v>
      </c>
      <c r="T54" s="6" t="str">
        <f>_xlfn.XLOOKUP(S54,Lookup_Performance!$A$2:$A$6,Lookup_Performance!$C$2:$C$6,"Not Found",-1)</f>
        <v>Developing</v>
      </c>
      <c r="U54" s="24">
        <f>_xlfn.XLOOKUP(S54,Lookup_Performance!$A$2:$A$6,Lookup_Performance!$D$2:$D$6,"Not Found",-1)</f>
        <v>0.02</v>
      </c>
      <c r="V54" s="6" t="str">
        <f>TRIM(CLEAN(UPPER(H54)))</f>
        <v>RESIGNED</v>
      </c>
    </row>
    <row r="55" spans="1:22" x14ac:dyDescent="0.35">
      <c r="A55" s="4" t="s">
        <v>120</v>
      </c>
      <c r="B55" s="6" t="s">
        <v>9</v>
      </c>
      <c r="C55" s="6" t="s">
        <v>32</v>
      </c>
      <c r="D55" s="6" t="s">
        <v>43</v>
      </c>
      <c r="E55" s="8">
        <v>43464</v>
      </c>
      <c r="F55" s="10">
        <v>80189</v>
      </c>
      <c r="G55">
        <v>84</v>
      </c>
      <c r="H55" t="s">
        <v>265</v>
      </c>
      <c r="J55" s="4" t="str">
        <f>TRIM(CLEAN(A55))</f>
        <v>EMP087</v>
      </c>
      <c r="K55" s="6" t="str">
        <f>TRIM(CLEAN(PROPER(B55)))</f>
        <v>Emily</v>
      </c>
      <c r="L55" s="6" t="str">
        <f>TRIM(CLEAN(PROPER(C55)))</f>
        <v>Johnson</v>
      </c>
      <c r="M55" s="22" t="str">
        <f t="shared" si="0"/>
        <v>Emily Johnson</v>
      </c>
      <c r="N55" s="22" t="str">
        <f>_xlfn.XLOOKUP(O55,Lookup_Departments!$A$2:$A$7,Lookup_Departments!$B$2:$B$7,"Not Found")</f>
        <v>Sales</v>
      </c>
      <c r="O55" s="4" t="str">
        <f>IFERROR(VLOOKUP(D55,Lookup_Departments!$A$2:$B$7,1,FALSE),"Invalid")</f>
        <v>SAL05</v>
      </c>
      <c r="P55" s="8">
        <f t="shared" si="1"/>
        <v>43464</v>
      </c>
      <c r="Q55" s="17">
        <f t="shared" ca="1" si="2"/>
        <v>7</v>
      </c>
      <c r="R55" s="14">
        <f>IF(F55="",AVERAGEIF($D$2:$D$151,D55,$F$2:$F$151),F55)</f>
        <v>80189</v>
      </c>
      <c r="S55" s="17">
        <f>IF(G55="",AVERAGE($G$2:$G$158),G55)</f>
        <v>84</v>
      </c>
      <c r="T55" s="6" t="str">
        <f>_xlfn.XLOOKUP(S55,Lookup_Performance!$A$2:$A$6,Lookup_Performance!$C$2:$C$6,"Not Found",-1)</f>
        <v>Achieving</v>
      </c>
      <c r="U55" s="24">
        <f>_xlfn.XLOOKUP(S55,Lookup_Performance!$A$2:$A$6,Lookup_Performance!$D$2:$D$6,"Not Found",-1)</f>
        <v>0.05</v>
      </c>
      <c r="V55" s="6" t="str">
        <f>TRIM(CLEAN(UPPER(H55)))</f>
        <v>ACTIVE</v>
      </c>
    </row>
    <row r="56" spans="1:22" x14ac:dyDescent="0.35">
      <c r="A56" s="4" t="s">
        <v>121</v>
      </c>
      <c r="B56" s="6" t="s">
        <v>9</v>
      </c>
      <c r="C56" s="6" t="s">
        <v>122</v>
      </c>
      <c r="D56" s="6" t="s">
        <v>92</v>
      </c>
      <c r="E56" s="8">
        <v>44189</v>
      </c>
      <c r="F56" s="10">
        <v>118947</v>
      </c>
      <c r="G56">
        <v>30</v>
      </c>
      <c r="H56" t="s">
        <v>44</v>
      </c>
      <c r="J56" s="4" t="str">
        <f>TRIM(CLEAN(A56))</f>
        <v>EMP119</v>
      </c>
      <c r="K56" s="6" t="str">
        <f>TRIM(CLEAN(PROPER(B56)))</f>
        <v>Emily</v>
      </c>
      <c r="L56" s="6" t="str">
        <f>TRIM(CLEAN(PROPER(C56)))</f>
        <v>Garcia</v>
      </c>
      <c r="M56" s="22" t="str">
        <f t="shared" si="0"/>
        <v>Emily Garcia</v>
      </c>
      <c r="N56" s="22" t="str">
        <f>_xlfn.XLOOKUP(O56,Lookup_Departments!$A$2:$A$7,Lookup_Departments!$B$2:$B$7,"Not Found")</f>
        <v>Human Resources</v>
      </c>
      <c r="O56" s="4" t="str">
        <f>IFERROR(VLOOKUP(D56,Lookup_Departments!$A$2:$B$7,1,FALSE),"Invalid")</f>
        <v>HR01</v>
      </c>
      <c r="P56" s="8">
        <f t="shared" si="1"/>
        <v>44189</v>
      </c>
      <c r="Q56" s="17">
        <f t="shared" ca="1" si="2"/>
        <v>5</v>
      </c>
      <c r="R56" s="14">
        <f>IF(F56="",AVERAGEIF($D$2:$D$151,D56,$F$2:$F$151),F56)</f>
        <v>118947</v>
      </c>
      <c r="S56" s="17">
        <f>IF(G56="",AVERAGE($G$2:$G$158),G56)</f>
        <v>30</v>
      </c>
      <c r="T56" s="6" t="str">
        <f>_xlfn.XLOOKUP(S56,Lookup_Performance!$A$2:$A$6,Lookup_Performance!$C$2:$C$6,"Not Found",-1)</f>
        <v>Needs Improvement</v>
      </c>
      <c r="U56" s="24">
        <f>_xlfn.XLOOKUP(S56,Lookup_Performance!$A$2:$A$6,Lookup_Performance!$D$2:$D$6,"Not Found",-1)</f>
        <v>0</v>
      </c>
      <c r="V56" s="6" t="str">
        <f>TRIM(CLEAN(UPPER(H56)))</f>
        <v>ACTIVE</v>
      </c>
    </row>
    <row r="57" spans="1:22" x14ac:dyDescent="0.35">
      <c r="A57" s="4" t="s">
        <v>123</v>
      </c>
      <c r="B57" s="6" t="s">
        <v>52</v>
      </c>
      <c r="C57" s="6" t="s">
        <v>124</v>
      </c>
      <c r="D57" s="6" t="s">
        <v>11</v>
      </c>
      <c r="E57" s="8">
        <v>45112</v>
      </c>
      <c r="G57">
        <v>96</v>
      </c>
      <c r="H57" t="s">
        <v>12</v>
      </c>
      <c r="J57" s="4" t="str">
        <f>TRIM(CLEAN(A57))</f>
        <v>EMP042</v>
      </c>
      <c r="K57" s="6" t="str">
        <f>TRIM(CLEAN(PROPER(B57)))</f>
        <v>Jane</v>
      </c>
      <c r="L57" s="6" t="str">
        <f>TRIM(CLEAN(PROPER(C57)))</f>
        <v>Anderson</v>
      </c>
      <c r="M57" s="22" t="str">
        <f t="shared" si="0"/>
        <v>Jane Anderson</v>
      </c>
      <c r="N57" s="22" t="str">
        <f>_xlfn.XLOOKUP(O57,Lookup_Departments!$A$2:$A$7,Lookup_Departments!$B$2:$B$7,"Not Found")</f>
        <v>Information Technology</v>
      </c>
      <c r="O57" s="4" t="str">
        <f>IFERROR(VLOOKUP(D57,Lookup_Departments!$A$2:$B$7,1,FALSE),"Invalid")</f>
        <v>IT02</v>
      </c>
      <c r="P57" s="8">
        <f t="shared" si="1"/>
        <v>45112</v>
      </c>
      <c r="Q57" s="17">
        <f t="shared" ca="1" si="2"/>
        <v>3</v>
      </c>
      <c r="R57" s="14">
        <f>IF(F57="",AVERAGEIF($D$2:$D$151,D57,$F$2:$F$151),F57)</f>
        <v>80014.258064516136</v>
      </c>
      <c r="S57" s="17">
        <f>IF(G57="",AVERAGE($G$2:$G$158),G57)</f>
        <v>96</v>
      </c>
      <c r="T57" s="6" t="str">
        <f>_xlfn.XLOOKUP(S57,Lookup_Performance!$A$2:$A$6,Lookup_Performance!$C$2:$C$6,"Not Found",-1)</f>
        <v>Outstanding</v>
      </c>
      <c r="U57" s="24">
        <f>_xlfn.XLOOKUP(S57,Lookup_Performance!$A$2:$A$6,Lookup_Performance!$D$2:$D$6,"Not Found",-1)</f>
        <v>0.12</v>
      </c>
      <c r="V57" s="6" t="str">
        <f>TRIM(CLEAN(UPPER(H57)))</f>
        <v>ACTIVE</v>
      </c>
    </row>
    <row r="58" spans="1:22" x14ac:dyDescent="0.35">
      <c r="A58" s="4" t="s">
        <v>125</v>
      </c>
      <c r="B58" s="6" t="s">
        <v>28</v>
      </c>
      <c r="C58" s="6" t="s">
        <v>122</v>
      </c>
      <c r="D58" s="6" t="s">
        <v>33</v>
      </c>
      <c r="E58" s="8">
        <v>44148</v>
      </c>
      <c r="G58">
        <v>54</v>
      </c>
      <c r="H58" t="s">
        <v>265</v>
      </c>
      <c r="J58" s="4" t="str">
        <f>TRIM(CLEAN(A58))</f>
        <v>EMP005</v>
      </c>
      <c r="K58" s="6" t="str">
        <f>TRIM(CLEAN(PROPER(B58)))</f>
        <v>Thomas</v>
      </c>
      <c r="L58" s="6" t="str">
        <f>TRIM(CLEAN(PROPER(C58)))</f>
        <v>Garcia</v>
      </c>
      <c r="M58" s="22" t="str">
        <f t="shared" si="0"/>
        <v>Thomas Garcia</v>
      </c>
      <c r="N58" s="22" t="str">
        <f>_xlfn.XLOOKUP(O58,Lookup_Departments!$A$2:$A$7,Lookup_Departments!$B$2:$B$7,"Not Found")</f>
        <v>Operations</v>
      </c>
      <c r="O58" s="4" t="str">
        <f>IFERROR(VLOOKUP(D58,Lookup_Departments!$A$2:$B$7,1,FALSE),"Invalid")</f>
        <v>OPS06</v>
      </c>
      <c r="P58" s="8">
        <f t="shared" si="1"/>
        <v>44148</v>
      </c>
      <c r="Q58" s="17">
        <f t="shared" ca="1" si="2"/>
        <v>5</v>
      </c>
      <c r="R58" s="14">
        <f>IF(F58="",AVERAGEIF($D$2:$D$151,D58,$F$2:$F$151),F58)</f>
        <v>79786.666666666672</v>
      </c>
      <c r="S58" s="17">
        <f>IF(G58="",AVERAGE($G$2:$G$158),G58)</f>
        <v>54</v>
      </c>
      <c r="T58" s="6" t="str">
        <f>_xlfn.XLOOKUP(S58,Lookup_Performance!$A$2:$A$6,Lookup_Performance!$C$2:$C$6,"Not Found",-1)</f>
        <v>Developing</v>
      </c>
      <c r="U58" s="24">
        <f>_xlfn.XLOOKUP(S58,Lookup_Performance!$A$2:$A$6,Lookup_Performance!$D$2:$D$6,"Not Found",-1)</f>
        <v>0.02</v>
      </c>
      <c r="V58" s="6" t="str">
        <f>TRIM(CLEAN(UPPER(H58)))</f>
        <v>ACTIVE</v>
      </c>
    </row>
    <row r="59" spans="1:22" x14ac:dyDescent="0.35">
      <c r="A59" s="4" t="s">
        <v>126</v>
      </c>
      <c r="B59" s="6" t="s">
        <v>104</v>
      </c>
      <c r="C59" s="6" t="s">
        <v>25</v>
      </c>
      <c r="D59" s="6" t="s">
        <v>92</v>
      </c>
      <c r="E59" s="8">
        <v>43283</v>
      </c>
      <c r="F59" s="10">
        <v>91655</v>
      </c>
      <c r="G59">
        <v>75</v>
      </c>
      <c r="H59" t="s">
        <v>265</v>
      </c>
      <c r="J59" s="4" t="str">
        <f>TRIM(CLEAN(A59))</f>
        <v>EMP033</v>
      </c>
      <c r="K59" s="6" t="str">
        <f>TRIM(CLEAN(PROPER(B59)))</f>
        <v>David</v>
      </c>
      <c r="L59" s="6" t="str">
        <f>TRIM(CLEAN(PROPER(C59)))</f>
        <v>Martinez</v>
      </c>
      <c r="M59" s="22" t="str">
        <f t="shared" si="0"/>
        <v>David Martinez</v>
      </c>
      <c r="N59" s="22" t="str">
        <f>_xlfn.XLOOKUP(O59,Lookup_Departments!$A$2:$A$7,Lookup_Departments!$B$2:$B$7,"Not Found")</f>
        <v>Human Resources</v>
      </c>
      <c r="O59" s="4" t="str">
        <f>IFERROR(VLOOKUP(D59,Lookup_Departments!$A$2:$B$7,1,FALSE),"Invalid")</f>
        <v>HR01</v>
      </c>
      <c r="P59" s="8">
        <f t="shared" si="1"/>
        <v>43283</v>
      </c>
      <c r="Q59" s="17">
        <f t="shared" ca="1" si="2"/>
        <v>8</v>
      </c>
      <c r="R59" s="14">
        <f>IF(F59="",AVERAGEIF($D$2:$D$151,D59,$F$2:$F$151),F59)</f>
        <v>91655</v>
      </c>
      <c r="S59" s="17">
        <f>IF(G59="",AVERAGE($G$2:$G$158),G59)</f>
        <v>75</v>
      </c>
      <c r="T59" s="6" t="str">
        <f>_xlfn.XLOOKUP(S59,Lookup_Performance!$A$2:$A$6,Lookup_Performance!$C$2:$C$6,"Not Found",-1)</f>
        <v>Achieving</v>
      </c>
      <c r="U59" s="24">
        <f>_xlfn.XLOOKUP(S59,Lookup_Performance!$A$2:$A$6,Lookup_Performance!$D$2:$D$6,"Not Found",-1)</f>
        <v>0.05</v>
      </c>
      <c r="V59" s="6" t="str">
        <f>TRIM(CLEAN(UPPER(H59)))</f>
        <v>ACTIVE</v>
      </c>
    </row>
    <row r="60" spans="1:22" x14ac:dyDescent="0.35">
      <c r="A60" s="4" t="s">
        <v>128</v>
      </c>
      <c r="B60" s="6" t="s">
        <v>9</v>
      </c>
      <c r="C60" s="6" t="s">
        <v>10</v>
      </c>
      <c r="D60" s="6" t="s">
        <v>11</v>
      </c>
      <c r="E60" s="8">
        <v>45255</v>
      </c>
      <c r="F60" s="10">
        <v>49435</v>
      </c>
      <c r="G60">
        <v>95</v>
      </c>
      <c r="H60" t="s">
        <v>44</v>
      </c>
      <c r="J60" s="4" t="str">
        <f>TRIM(CLEAN(A60))</f>
        <v>EMP061</v>
      </c>
      <c r="K60" s="6" t="str">
        <f>TRIM(CLEAN(PROPER(B60)))</f>
        <v>Emily</v>
      </c>
      <c r="L60" s="6" t="str">
        <f>TRIM(CLEAN(PROPER(C60)))</f>
        <v>Brown</v>
      </c>
      <c r="M60" s="22" t="str">
        <f t="shared" si="0"/>
        <v>Emily Brown</v>
      </c>
      <c r="N60" s="22" t="str">
        <f>_xlfn.XLOOKUP(O60,Lookup_Departments!$A$2:$A$7,Lookup_Departments!$B$2:$B$7,"Not Found")</f>
        <v>Information Technology</v>
      </c>
      <c r="O60" s="4" t="str">
        <f>IFERROR(VLOOKUP(D60,Lookup_Departments!$A$2:$B$7,1,FALSE),"Invalid")</f>
        <v>IT02</v>
      </c>
      <c r="P60" s="8">
        <f t="shared" si="1"/>
        <v>45255</v>
      </c>
      <c r="Q60" s="17">
        <f t="shared" ca="1" si="2"/>
        <v>2</v>
      </c>
      <c r="R60" s="14">
        <f>IF(F60="",AVERAGEIF($D$2:$D$151,D60,$F$2:$F$151),F60)</f>
        <v>49435</v>
      </c>
      <c r="S60" s="17">
        <f>IF(G60="",AVERAGE($G$2:$G$158),G60)</f>
        <v>95</v>
      </c>
      <c r="T60" s="6" t="str">
        <f>_xlfn.XLOOKUP(S60,Lookup_Performance!$A$2:$A$6,Lookup_Performance!$C$2:$C$6,"Not Found",-1)</f>
        <v>Outstanding</v>
      </c>
      <c r="U60" s="24">
        <f>_xlfn.XLOOKUP(S60,Lookup_Performance!$A$2:$A$6,Lookup_Performance!$D$2:$D$6,"Not Found",-1)</f>
        <v>0.12</v>
      </c>
      <c r="V60" s="6" t="str">
        <f>TRIM(CLEAN(UPPER(H60)))</f>
        <v>ACTIVE</v>
      </c>
    </row>
    <row r="61" spans="1:22" x14ac:dyDescent="0.35">
      <c r="A61" s="4" t="s">
        <v>129</v>
      </c>
      <c r="B61" s="6" t="s">
        <v>9</v>
      </c>
      <c r="C61" s="6" t="s">
        <v>35</v>
      </c>
      <c r="D61" s="6" t="s">
        <v>43</v>
      </c>
      <c r="E61" s="8">
        <v>45217</v>
      </c>
      <c r="F61" s="10">
        <v>110381</v>
      </c>
      <c r="G61"/>
      <c r="H61" t="s">
        <v>100</v>
      </c>
      <c r="J61" s="4" t="str">
        <f>TRIM(CLEAN(A61))</f>
        <v>EMP102</v>
      </c>
      <c r="K61" s="6" t="str">
        <f>TRIM(CLEAN(PROPER(B61)))</f>
        <v>Emily</v>
      </c>
      <c r="L61" s="6" t="str">
        <f>TRIM(CLEAN(PROPER(C61)))</f>
        <v>Wilson</v>
      </c>
      <c r="M61" s="22" t="str">
        <f t="shared" si="0"/>
        <v>Emily Wilson</v>
      </c>
      <c r="N61" s="22" t="str">
        <f>_xlfn.XLOOKUP(O61,Lookup_Departments!$A$2:$A$7,Lookup_Departments!$B$2:$B$7,"Not Found")</f>
        <v>Sales</v>
      </c>
      <c r="O61" s="4" t="str">
        <f>IFERROR(VLOOKUP(D61,Lookup_Departments!$A$2:$B$7,1,FALSE),"Invalid")</f>
        <v>SAL05</v>
      </c>
      <c r="P61" s="8">
        <f t="shared" si="1"/>
        <v>45217</v>
      </c>
      <c r="Q61" s="17">
        <f t="shared" ca="1" si="2"/>
        <v>2</v>
      </c>
      <c r="R61" s="14">
        <f>IF(F61="",AVERAGEIF($D$2:$D$151,D61,$F$2:$F$151),F61)</f>
        <v>110381</v>
      </c>
      <c r="S61" s="17">
        <f>IF(G61="",AVERAGE($G$2:$G$158),G61)</f>
        <v>68.219858156028366</v>
      </c>
      <c r="T61" s="6" t="str">
        <f>_xlfn.XLOOKUP(S61,Lookup_Performance!$A$2:$A$6,Lookup_Performance!$C$2:$C$6,"Not Found",-1)</f>
        <v>Developing</v>
      </c>
      <c r="U61" s="24">
        <f>_xlfn.XLOOKUP(S61,Lookup_Performance!$A$2:$A$6,Lookup_Performance!$D$2:$D$6,"Not Found",-1)</f>
        <v>0.02</v>
      </c>
      <c r="V61" s="6" t="str">
        <f>TRIM(CLEAN(UPPER(H61)))</f>
        <v>LEFT</v>
      </c>
    </row>
    <row r="62" spans="1:22" x14ac:dyDescent="0.35">
      <c r="A62" s="4" t="s">
        <v>130</v>
      </c>
      <c r="B62" s="6" t="s">
        <v>42</v>
      </c>
      <c r="C62" s="6" t="s">
        <v>124</v>
      </c>
      <c r="D62" s="6" t="s">
        <v>92</v>
      </c>
      <c r="E62" s="8">
        <v>44079</v>
      </c>
      <c r="F62" s="10">
        <v>114748</v>
      </c>
      <c r="G62">
        <v>93</v>
      </c>
      <c r="H62" t="s">
        <v>44</v>
      </c>
      <c r="J62" s="4" t="str">
        <f>TRIM(CLEAN(A62))</f>
        <v>EMP067</v>
      </c>
      <c r="K62" s="6" t="str">
        <f>TRIM(CLEAN(PROPER(B62)))</f>
        <v>Michael</v>
      </c>
      <c r="L62" s="6" t="str">
        <f>TRIM(CLEAN(PROPER(C62)))</f>
        <v>Anderson</v>
      </c>
      <c r="M62" s="22" t="str">
        <f t="shared" si="0"/>
        <v>Michael Anderson</v>
      </c>
      <c r="N62" s="22" t="str">
        <f>_xlfn.XLOOKUP(O62,Lookup_Departments!$A$2:$A$7,Lookup_Departments!$B$2:$B$7,"Not Found")</f>
        <v>Human Resources</v>
      </c>
      <c r="O62" s="4" t="str">
        <f>IFERROR(VLOOKUP(D62,Lookup_Departments!$A$2:$B$7,1,FALSE),"Invalid")</f>
        <v>HR01</v>
      </c>
      <c r="P62" s="8">
        <f t="shared" si="1"/>
        <v>44079</v>
      </c>
      <c r="Q62" s="17">
        <f t="shared" ca="1" si="2"/>
        <v>5</v>
      </c>
      <c r="R62" s="14">
        <f>IF(F62="",AVERAGEIF($D$2:$D$151,D62,$F$2:$F$151),F62)</f>
        <v>114748</v>
      </c>
      <c r="S62" s="17">
        <f>IF(G62="",AVERAGE($G$2:$G$158),G62)</f>
        <v>93</v>
      </c>
      <c r="T62" s="6" t="str">
        <f>_xlfn.XLOOKUP(S62,Lookup_Performance!$A$2:$A$6,Lookup_Performance!$C$2:$C$6,"Not Found",-1)</f>
        <v>Exceeding</v>
      </c>
      <c r="U62" s="24">
        <f>_xlfn.XLOOKUP(S62,Lookup_Performance!$A$2:$A$6,Lookup_Performance!$D$2:$D$6,"Not Found",-1)</f>
        <v>0.08</v>
      </c>
      <c r="V62" s="6" t="str">
        <f>TRIM(CLEAN(UPPER(H62)))</f>
        <v>ACTIVE</v>
      </c>
    </row>
    <row r="63" spans="1:22" x14ac:dyDescent="0.35">
      <c r="A63" s="4" t="s">
        <v>131</v>
      </c>
      <c r="B63" s="6" t="s">
        <v>57</v>
      </c>
      <c r="C63" s="6" t="s">
        <v>32</v>
      </c>
      <c r="D63" s="6" t="s">
        <v>33</v>
      </c>
      <c r="E63" s="8">
        <v>42800</v>
      </c>
      <c r="F63" s="10">
        <v>63302</v>
      </c>
      <c r="G63">
        <v>33</v>
      </c>
      <c r="H63" t="s">
        <v>12</v>
      </c>
      <c r="J63" s="4" t="str">
        <f>TRIM(CLEAN(A63))</f>
        <v>EMP017</v>
      </c>
      <c r="K63" s="6" t="str">
        <f>TRIM(CLEAN(PROPER(B63)))</f>
        <v>Robert</v>
      </c>
      <c r="L63" s="6" t="str">
        <f>TRIM(CLEAN(PROPER(C63)))</f>
        <v>Johnson</v>
      </c>
      <c r="M63" s="22" t="str">
        <f t="shared" si="0"/>
        <v>Robert Johnson</v>
      </c>
      <c r="N63" s="22" t="str">
        <f>_xlfn.XLOOKUP(O63,Lookup_Departments!$A$2:$A$7,Lookup_Departments!$B$2:$B$7,"Not Found")</f>
        <v>Operations</v>
      </c>
      <c r="O63" s="4" t="str">
        <f>IFERROR(VLOOKUP(D63,Lookup_Departments!$A$2:$B$7,1,FALSE),"Invalid")</f>
        <v>OPS06</v>
      </c>
      <c r="P63" s="8">
        <f t="shared" si="1"/>
        <v>42800</v>
      </c>
      <c r="Q63" s="17">
        <f t="shared" ca="1" si="2"/>
        <v>9</v>
      </c>
      <c r="R63" s="14">
        <f>IF(F63="",AVERAGEIF($D$2:$D$151,D63,$F$2:$F$151),F63)</f>
        <v>63302</v>
      </c>
      <c r="S63" s="17">
        <f>IF(G63="",AVERAGE($G$2:$G$158),G63)</f>
        <v>33</v>
      </c>
      <c r="T63" s="6" t="str">
        <f>_xlfn.XLOOKUP(S63,Lookup_Performance!$A$2:$A$6,Lookup_Performance!$C$2:$C$6,"Not Found",-1)</f>
        <v>Needs Improvement</v>
      </c>
      <c r="U63" s="24">
        <f>_xlfn.XLOOKUP(S63,Lookup_Performance!$A$2:$A$6,Lookup_Performance!$D$2:$D$6,"Not Found",-1)</f>
        <v>0</v>
      </c>
      <c r="V63" s="6" t="str">
        <f>TRIM(CLEAN(UPPER(H63)))</f>
        <v>ACTIVE</v>
      </c>
    </row>
    <row r="64" spans="1:22" x14ac:dyDescent="0.35">
      <c r="A64" s="4" t="s">
        <v>132</v>
      </c>
      <c r="B64" s="6" t="s">
        <v>57</v>
      </c>
      <c r="C64" s="6" t="s">
        <v>46</v>
      </c>
      <c r="D64" s="6" t="s">
        <v>11</v>
      </c>
      <c r="E64" s="8">
        <v>42122</v>
      </c>
      <c r="F64" s="10">
        <v>75519</v>
      </c>
      <c r="G64">
        <v>91</v>
      </c>
      <c r="H64" t="s">
        <v>12</v>
      </c>
      <c r="J64" s="4" t="str">
        <f>TRIM(CLEAN(A64))</f>
        <v>EMP123</v>
      </c>
      <c r="K64" s="6" t="str">
        <f>TRIM(CLEAN(PROPER(B64)))</f>
        <v>Robert</v>
      </c>
      <c r="L64" s="6" t="str">
        <f>TRIM(CLEAN(PROPER(C64)))</f>
        <v>Miller</v>
      </c>
      <c r="M64" s="22" t="str">
        <f t="shared" si="0"/>
        <v>Robert Miller</v>
      </c>
      <c r="N64" s="22" t="str">
        <f>_xlfn.XLOOKUP(O64,Lookup_Departments!$A$2:$A$7,Lookup_Departments!$B$2:$B$7,"Not Found")</f>
        <v>Information Technology</v>
      </c>
      <c r="O64" s="4" t="str">
        <f>IFERROR(VLOOKUP(D64,Lookup_Departments!$A$2:$B$7,1,FALSE),"Invalid")</f>
        <v>IT02</v>
      </c>
      <c r="P64" s="8">
        <f t="shared" si="1"/>
        <v>42122</v>
      </c>
      <c r="Q64" s="17">
        <f t="shared" ca="1" si="2"/>
        <v>11</v>
      </c>
      <c r="R64" s="14">
        <f>IF(F64="",AVERAGEIF($D$2:$D$151,D64,$F$2:$F$151),F64)</f>
        <v>75519</v>
      </c>
      <c r="S64" s="17">
        <f>IF(G64="",AVERAGE($G$2:$G$158),G64)</f>
        <v>91</v>
      </c>
      <c r="T64" s="6" t="str">
        <f>_xlfn.XLOOKUP(S64,Lookup_Performance!$A$2:$A$6,Lookup_Performance!$C$2:$C$6,"Not Found",-1)</f>
        <v>Exceeding</v>
      </c>
      <c r="U64" s="24">
        <f>_xlfn.XLOOKUP(S64,Lookup_Performance!$A$2:$A$6,Lookup_Performance!$D$2:$D$6,"Not Found",-1)</f>
        <v>0.08</v>
      </c>
      <c r="V64" s="6" t="str">
        <f>TRIM(CLEAN(UPPER(H64)))</f>
        <v>ACTIVE</v>
      </c>
    </row>
    <row r="65" spans="1:22" x14ac:dyDescent="0.35">
      <c r="A65" s="4" t="s">
        <v>134</v>
      </c>
      <c r="B65" s="6" t="s">
        <v>52</v>
      </c>
      <c r="C65" s="6" t="s">
        <v>62</v>
      </c>
      <c r="D65" s="6" t="s">
        <v>26</v>
      </c>
      <c r="E65" s="8">
        <v>42838</v>
      </c>
      <c r="F65" s="10">
        <v>103891</v>
      </c>
      <c r="G65">
        <v>64</v>
      </c>
      <c r="H65" t="s">
        <v>12</v>
      </c>
      <c r="J65" s="4" t="str">
        <f>TRIM(CLEAN(A65))</f>
        <v>EMP011</v>
      </c>
      <c r="K65" s="6" t="str">
        <f>TRIM(CLEAN(PROPER(B65)))</f>
        <v>Jane</v>
      </c>
      <c r="L65" s="6" t="str">
        <f>TRIM(CLEAN(PROPER(C65)))</f>
        <v>Davis</v>
      </c>
      <c r="M65" s="22" t="str">
        <f t="shared" si="0"/>
        <v>Jane Davis</v>
      </c>
      <c r="N65" s="22" t="str">
        <f>_xlfn.XLOOKUP(O65,Lookup_Departments!$A$2:$A$7,Lookup_Departments!$B$2:$B$7,"Not Found")</f>
        <v>Finance</v>
      </c>
      <c r="O65" s="4" t="str">
        <f>IFERROR(VLOOKUP(D65,Lookup_Departments!$A$2:$B$7,1,FALSE),"Invalid")</f>
        <v>FIN03</v>
      </c>
      <c r="P65" s="8">
        <f t="shared" si="1"/>
        <v>42838</v>
      </c>
      <c r="Q65" s="17">
        <f t="shared" ca="1" si="2"/>
        <v>9</v>
      </c>
      <c r="R65" s="14">
        <f>IF(F65="",AVERAGEIF($D$2:$D$151,D65,$F$2:$F$151),F65)</f>
        <v>103891</v>
      </c>
      <c r="S65" s="17">
        <f>IF(G65="",AVERAGE($G$2:$G$158),G65)</f>
        <v>64</v>
      </c>
      <c r="T65" s="6" t="str">
        <f>_xlfn.XLOOKUP(S65,Lookup_Performance!$A$2:$A$6,Lookup_Performance!$C$2:$C$6,"Not Found",-1)</f>
        <v>Developing</v>
      </c>
      <c r="U65" s="24">
        <f>_xlfn.XLOOKUP(S65,Lookup_Performance!$A$2:$A$6,Lookup_Performance!$D$2:$D$6,"Not Found",-1)</f>
        <v>0.02</v>
      </c>
      <c r="V65" s="6" t="str">
        <f>TRIM(CLEAN(UPPER(H65)))</f>
        <v>ACTIVE</v>
      </c>
    </row>
    <row r="66" spans="1:22" x14ac:dyDescent="0.35">
      <c r="A66" s="4" t="s">
        <v>135</v>
      </c>
      <c r="B66" s="6" t="s">
        <v>28</v>
      </c>
      <c r="C66" s="6" t="s">
        <v>62</v>
      </c>
      <c r="D66" s="6" t="s">
        <v>33</v>
      </c>
      <c r="E66" s="8">
        <v>44827</v>
      </c>
      <c r="G66">
        <v>80</v>
      </c>
      <c r="H66" t="s">
        <v>12</v>
      </c>
      <c r="J66" s="4" t="str">
        <f>TRIM(CLEAN(A66))</f>
        <v>EMP091</v>
      </c>
      <c r="K66" s="6" t="str">
        <f>TRIM(CLEAN(PROPER(B66)))</f>
        <v>Thomas</v>
      </c>
      <c r="L66" s="6" t="str">
        <f>TRIM(CLEAN(PROPER(C66)))</f>
        <v>Davis</v>
      </c>
      <c r="M66" s="22" t="str">
        <f t="shared" si="0"/>
        <v>Thomas Davis</v>
      </c>
      <c r="N66" s="22" t="str">
        <f>_xlfn.XLOOKUP(O66,Lookup_Departments!$A$2:$A$7,Lookup_Departments!$B$2:$B$7,"Not Found")</f>
        <v>Operations</v>
      </c>
      <c r="O66" s="4" t="str">
        <f>IFERROR(VLOOKUP(D66,Lookup_Departments!$A$2:$B$7,1,FALSE),"Invalid")</f>
        <v>OPS06</v>
      </c>
      <c r="P66" s="8">
        <f t="shared" si="1"/>
        <v>44827</v>
      </c>
      <c r="Q66" s="17">
        <f t="shared" ca="1" si="2"/>
        <v>3</v>
      </c>
      <c r="R66" s="14">
        <f>IF(F66="",AVERAGEIF($D$2:$D$151,D66,$F$2:$F$151),F66)</f>
        <v>79786.666666666672</v>
      </c>
      <c r="S66" s="17">
        <f>IF(G66="",AVERAGE($G$2:$G$158),G66)</f>
        <v>80</v>
      </c>
      <c r="T66" s="6" t="str">
        <f>_xlfn.XLOOKUP(S66,Lookup_Performance!$A$2:$A$6,Lookup_Performance!$C$2:$C$6,"Not Found",-1)</f>
        <v>Achieving</v>
      </c>
      <c r="U66" s="24">
        <f>_xlfn.XLOOKUP(S66,Lookup_Performance!$A$2:$A$6,Lookup_Performance!$D$2:$D$6,"Not Found",-1)</f>
        <v>0.05</v>
      </c>
      <c r="V66" s="6" t="str">
        <f>TRIM(CLEAN(UPPER(H66)))</f>
        <v>ACTIVE</v>
      </c>
    </row>
    <row r="67" spans="1:22" x14ac:dyDescent="0.35">
      <c r="A67" s="4" t="s">
        <v>136</v>
      </c>
      <c r="B67" s="6" t="s">
        <v>28</v>
      </c>
      <c r="C67" s="6" t="s">
        <v>58</v>
      </c>
      <c r="D67" s="6" t="s">
        <v>16</v>
      </c>
      <c r="E67" s="8">
        <v>42685</v>
      </c>
      <c r="F67" s="10">
        <v>50936</v>
      </c>
      <c r="G67">
        <v>46</v>
      </c>
      <c r="H67" t="s">
        <v>22</v>
      </c>
      <c r="J67" s="4" t="str">
        <f>TRIM(CLEAN(A67))</f>
        <v>EMP145</v>
      </c>
      <c r="K67" s="6" t="str">
        <f>TRIM(CLEAN(PROPER(B67)))</f>
        <v>Thomas</v>
      </c>
      <c r="L67" s="6" t="str">
        <f>TRIM(CLEAN(PROPER(C67)))</f>
        <v>Jones</v>
      </c>
      <c r="M67" s="22" t="str">
        <f t="shared" ref="M67:M130" si="3">_xlfn.TEXTJOIN(" ",TRUE,K67,L67)</f>
        <v>Thomas Jones</v>
      </c>
      <c r="N67" s="22" t="str">
        <f>_xlfn.XLOOKUP(O67,Lookup_Departments!$A$2:$A$7,Lookup_Departments!$B$2:$B$7,"Not Found")</f>
        <v>Marketing</v>
      </c>
      <c r="O67" s="4" t="str">
        <f>IFERROR(VLOOKUP(D67,Lookup_Departments!$A$2:$B$7,1,FALSE),"Invalid")</f>
        <v>MKT04</v>
      </c>
      <c r="P67" s="8">
        <f t="shared" ref="P67:P130" si="4">IF(ISNUMBER(E67),E67,DATE(RIGHT(E67,4),LEFT(E67,2),MID(E67,4,2)))</f>
        <v>42685</v>
      </c>
      <c r="Q67" s="17">
        <f t="shared" ref="Q67:Q130" ca="1" si="5">DATEDIF(P67,TODAY(),"Y")</f>
        <v>9</v>
      </c>
      <c r="R67" s="14">
        <f>IF(F67="",AVERAGEIF($D$2:$D$151,D67,$F$2:$F$151),F67)</f>
        <v>50936</v>
      </c>
      <c r="S67" s="17">
        <f>IF(G67="",AVERAGE($G$2:$G$158),G67)</f>
        <v>46</v>
      </c>
      <c r="T67" s="6" t="str">
        <f>_xlfn.XLOOKUP(S67,Lookup_Performance!$A$2:$A$6,Lookup_Performance!$C$2:$C$6,"Not Found",-1)</f>
        <v>Needs Improvement</v>
      </c>
      <c r="U67" s="24">
        <f>_xlfn.XLOOKUP(S67,Lookup_Performance!$A$2:$A$6,Lookup_Performance!$D$2:$D$6,"Not Found",-1)</f>
        <v>0</v>
      </c>
      <c r="V67" s="6" t="str">
        <f>TRIM(CLEAN(UPPER(H67)))</f>
        <v>LEFT</v>
      </c>
    </row>
    <row r="68" spans="1:22" x14ac:dyDescent="0.35">
      <c r="A68" s="4" t="s">
        <v>138</v>
      </c>
      <c r="B68" s="6" t="s">
        <v>42</v>
      </c>
      <c r="C68" s="6" t="s">
        <v>46</v>
      </c>
      <c r="D68" s="6" t="s">
        <v>43</v>
      </c>
      <c r="E68" s="8">
        <v>42818</v>
      </c>
      <c r="F68" s="10">
        <v>111240</v>
      </c>
      <c r="G68">
        <v>99</v>
      </c>
      <c r="H68" t="s">
        <v>12</v>
      </c>
      <c r="J68" s="4" t="str">
        <f>TRIM(CLEAN(A68))</f>
        <v>EMP001</v>
      </c>
      <c r="K68" s="6" t="str">
        <f>TRIM(CLEAN(PROPER(B68)))</f>
        <v>Michael</v>
      </c>
      <c r="L68" s="6" t="str">
        <f>TRIM(CLEAN(PROPER(C68)))</f>
        <v>Miller</v>
      </c>
      <c r="M68" s="22" t="str">
        <f t="shared" si="3"/>
        <v>Michael Miller</v>
      </c>
      <c r="N68" s="22" t="str">
        <f>_xlfn.XLOOKUP(O68,Lookup_Departments!$A$2:$A$7,Lookup_Departments!$B$2:$B$7,"Not Found")</f>
        <v>Sales</v>
      </c>
      <c r="O68" s="4" t="str">
        <f>IFERROR(VLOOKUP(D68,Lookup_Departments!$A$2:$B$7,1,FALSE),"Invalid")</f>
        <v>SAL05</v>
      </c>
      <c r="P68" s="8">
        <f t="shared" si="4"/>
        <v>42818</v>
      </c>
      <c r="Q68" s="17">
        <f t="shared" ca="1" si="5"/>
        <v>9</v>
      </c>
      <c r="R68" s="14">
        <f>IF(F68="",AVERAGEIF($D$2:$D$151,D68,$F$2:$F$151),F68)</f>
        <v>111240</v>
      </c>
      <c r="S68" s="17">
        <f>IF(G68="",AVERAGE($G$2:$G$158),G68)</f>
        <v>99</v>
      </c>
      <c r="T68" s="6" t="str">
        <f>_xlfn.XLOOKUP(S68,Lookup_Performance!$A$2:$A$6,Lookup_Performance!$C$2:$C$6,"Not Found",-1)</f>
        <v>Outstanding</v>
      </c>
      <c r="U68" s="24">
        <f>_xlfn.XLOOKUP(S68,Lookup_Performance!$A$2:$A$6,Lookup_Performance!$D$2:$D$6,"Not Found",-1)</f>
        <v>0.12</v>
      </c>
      <c r="V68" s="6" t="str">
        <f>TRIM(CLEAN(UPPER(H68)))</f>
        <v>ACTIVE</v>
      </c>
    </row>
    <row r="69" spans="1:22" x14ac:dyDescent="0.35">
      <c r="A69" s="4" t="s">
        <v>140</v>
      </c>
      <c r="B69" s="6" t="s">
        <v>14</v>
      </c>
      <c r="C69" s="6" t="s">
        <v>19</v>
      </c>
      <c r="D69" s="6" t="s">
        <v>92</v>
      </c>
      <c r="E69" s="8">
        <v>43590</v>
      </c>
      <c r="F69" s="10">
        <v>51567</v>
      </c>
      <c r="G69"/>
      <c r="H69" t="s">
        <v>265</v>
      </c>
      <c r="J69" s="4" t="str">
        <f>TRIM(CLEAN(A69))</f>
        <v>EMP113</v>
      </c>
      <c r="K69" s="6" t="str">
        <f>TRIM(CLEAN(PROPER(B69)))</f>
        <v>Richard</v>
      </c>
      <c r="L69" s="6" t="str">
        <f>TRIM(CLEAN(PROPER(C69)))</f>
        <v>Gonzalez</v>
      </c>
      <c r="M69" s="22" t="str">
        <f t="shared" si="3"/>
        <v>Richard Gonzalez</v>
      </c>
      <c r="N69" s="22" t="str">
        <f>_xlfn.XLOOKUP(O69,Lookup_Departments!$A$2:$A$7,Lookup_Departments!$B$2:$B$7,"Not Found")</f>
        <v>Human Resources</v>
      </c>
      <c r="O69" s="4" t="str">
        <f>IFERROR(VLOOKUP(D69,Lookup_Departments!$A$2:$B$7,1,FALSE),"Invalid")</f>
        <v>HR01</v>
      </c>
      <c r="P69" s="8">
        <f t="shared" si="4"/>
        <v>43590</v>
      </c>
      <c r="Q69" s="17">
        <f t="shared" ca="1" si="5"/>
        <v>7</v>
      </c>
      <c r="R69" s="14">
        <f>IF(F69="",AVERAGEIF($D$2:$D$151,D69,$F$2:$F$151),F69)</f>
        <v>51567</v>
      </c>
      <c r="S69" s="17">
        <f>IF(G69="",AVERAGE($G$2:$G$158),G69)</f>
        <v>68.219858156028366</v>
      </c>
      <c r="T69" s="6" t="str">
        <f>_xlfn.XLOOKUP(S69,Lookup_Performance!$A$2:$A$6,Lookup_Performance!$C$2:$C$6,"Not Found",-1)</f>
        <v>Developing</v>
      </c>
      <c r="U69" s="24">
        <f>_xlfn.XLOOKUP(S69,Lookup_Performance!$A$2:$A$6,Lookup_Performance!$D$2:$D$6,"Not Found",-1)</f>
        <v>0.02</v>
      </c>
      <c r="V69" s="6" t="str">
        <f>TRIM(CLEAN(UPPER(H69)))</f>
        <v>ACTIVE</v>
      </c>
    </row>
    <row r="70" spans="1:22" x14ac:dyDescent="0.35">
      <c r="A70" s="4" t="s">
        <v>141</v>
      </c>
      <c r="B70" s="6" t="s">
        <v>97</v>
      </c>
      <c r="C70" s="6" t="s">
        <v>53</v>
      </c>
      <c r="D70" s="6" t="s">
        <v>92</v>
      </c>
      <c r="E70" s="8">
        <v>44402</v>
      </c>
      <c r="G70">
        <v>87</v>
      </c>
      <c r="H70" t="s">
        <v>107</v>
      </c>
      <c r="J70" s="4" t="str">
        <f>TRIM(CLEAN(A70))</f>
        <v>EMP065</v>
      </c>
      <c r="K70" s="6" t="str">
        <f>TRIM(CLEAN(PROPER(B70)))</f>
        <v>Melissa</v>
      </c>
      <c r="L70" s="6" t="str">
        <f>TRIM(CLEAN(PROPER(C70)))</f>
        <v>Williams</v>
      </c>
      <c r="M70" s="22" t="str">
        <f t="shared" si="3"/>
        <v>Melissa Williams</v>
      </c>
      <c r="N70" s="22" t="str">
        <f>_xlfn.XLOOKUP(O70,Lookup_Departments!$A$2:$A$7,Lookup_Departments!$B$2:$B$7,"Not Found")</f>
        <v>Human Resources</v>
      </c>
      <c r="O70" s="4" t="str">
        <f>IFERROR(VLOOKUP(D70,Lookup_Departments!$A$2:$B$7,1,FALSE),"Invalid")</f>
        <v>HR01</v>
      </c>
      <c r="P70" s="8">
        <f t="shared" si="4"/>
        <v>44402</v>
      </c>
      <c r="Q70" s="17">
        <f t="shared" ca="1" si="5"/>
        <v>4</v>
      </c>
      <c r="R70" s="14">
        <f>IF(F70="",AVERAGEIF($D$2:$D$151,D70,$F$2:$F$151),F70)</f>
        <v>85649.941176470587</v>
      </c>
      <c r="S70" s="17">
        <f>IF(G70="",AVERAGE($G$2:$G$158),G70)</f>
        <v>87</v>
      </c>
      <c r="T70" s="6" t="str">
        <f>_xlfn.XLOOKUP(S70,Lookup_Performance!$A$2:$A$6,Lookup_Performance!$C$2:$C$6,"Not Found",-1)</f>
        <v>Exceeding</v>
      </c>
      <c r="U70" s="24">
        <f>_xlfn.XLOOKUP(S70,Lookup_Performance!$A$2:$A$6,Lookup_Performance!$D$2:$D$6,"Not Found",-1)</f>
        <v>0.08</v>
      </c>
      <c r="V70" s="6" t="str">
        <f>TRIM(CLEAN(UPPER(H70)))</f>
        <v>RESIGNED</v>
      </c>
    </row>
    <row r="71" spans="1:22" x14ac:dyDescent="0.35">
      <c r="A71" s="4" t="s">
        <v>143</v>
      </c>
      <c r="B71" s="6" t="s">
        <v>57</v>
      </c>
      <c r="C71" s="6" t="s">
        <v>46</v>
      </c>
      <c r="D71" s="6" t="s">
        <v>92</v>
      </c>
      <c r="E71" s="8">
        <v>43008</v>
      </c>
      <c r="F71" s="10">
        <v>55270</v>
      </c>
      <c r="G71">
        <v>36</v>
      </c>
      <c r="H71" t="s">
        <v>44</v>
      </c>
      <c r="J71" s="4" t="str">
        <f>TRIM(CLEAN(A71))</f>
        <v>EMP045</v>
      </c>
      <c r="K71" s="6" t="str">
        <f>TRIM(CLEAN(PROPER(B71)))</f>
        <v>Robert</v>
      </c>
      <c r="L71" s="6" t="str">
        <f>TRIM(CLEAN(PROPER(C71)))</f>
        <v>Miller</v>
      </c>
      <c r="M71" s="22" t="str">
        <f t="shared" si="3"/>
        <v>Robert Miller</v>
      </c>
      <c r="N71" s="22" t="str">
        <f>_xlfn.XLOOKUP(O71,Lookup_Departments!$A$2:$A$7,Lookup_Departments!$B$2:$B$7,"Not Found")</f>
        <v>Human Resources</v>
      </c>
      <c r="O71" s="4" t="str">
        <f>IFERROR(VLOOKUP(D71,Lookup_Departments!$A$2:$B$7,1,FALSE),"Invalid")</f>
        <v>HR01</v>
      </c>
      <c r="P71" s="8">
        <f t="shared" si="4"/>
        <v>43008</v>
      </c>
      <c r="Q71" s="17">
        <f t="shared" ca="1" si="5"/>
        <v>8</v>
      </c>
      <c r="R71" s="14">
        <f>IF(F71="",AVERAGEIF($D$2:$D$151,D71,$F$2:$F$151),F71)</f>
        <v>55270</v>
      </c>
      <c r="S71" s="17">
        <f>IF(G71="",AVERAGE($G$2:$G$158),G71)</f>
        <v>36</v>
      </c>
      <c r="T71" s="6" t="str">
        <f>_xlfn.XLOOKUP(S71,Lookup_Performance!$A$2:$A$6,Lookup_Performance!$C$2:$C$6,"Not Found",-1)</f>
        <v>Needs Improvement</v>
      </c>
      <c r="U71" s="24">
        <f>_xlfn.XLOOKUP(S71,Lookup_Performance!$A$2:$A$6,Lookup_Performance!$D$2:$D$6,"Not Found",-1)</f>
        <v>0</v>
      </c>
      <c r="V71" s="6" t="str">
        <f>TRIM(CLEAN(UPPER(H71)))</f>
        <v>ACTIVE</v>
      </c>
    </row>
    <row r="72" spans="1:22" x14ac:dyDescent="0.35">
      <c r="A72" s="4" t="s">
        <v>144</v>
      </c>
      <c r="B72" s="6" t="s">
        <v>145</v>
      </c>
      <c r="C72" s="6" t="s">
        <v>122</v>
      </c>
      <c r="D72" s="6" t="s">
        <v>43</v>
      </c>
      <c r="E72" s="8">
        <v>42192</v>
      </c>
      <c r="F72" s="10">
        <v>65235</v>
      </c>
      <c r="G72">
        <v>87</v>
      </c>
      <c r="H72" t="s">
        <v>265</v>
      </c>
      <c r="J72" s="4" t="str">
        <f>TRIM(CLEAN(A72))</f>
        <v>EMP083</v>
      </c>
      <c r="K72" s="6" t="str">
        <f>TRIM(CLEAN(PROPER(B72)))</f>
        <v>William</v>
      </c>
      <c r="L72" s="6" t="str">
        <f>TRIM(CLEAN(PROPER(C72)))</f>
        <v>Garcia</v>
      </c>
      <c r="M72" s="22" t="str">
        <f t="shared" si="3"/>
        <v>William Garcia</v>
      </c>
      <c r="N72" s="22" t="str">
        <f>_xlfn.XLOOKUP(O72,Lookup_Departments!$A$2:$A$7,Lookup_Departments!$B$2:$B$7,"Not Found")</f>
        <v>Sales</v>
      </c>
      <c r="O72" s="4" t="str">
        <f>IFERROR(VLOOKUP(D72,Lookup_Departments!$A$2:$B$7,1,FALSE),"Invalid")</f>
        <v>SAL05</v>
      </c>
      <c r="P72" s="8">
        <f t="shared" si="4"/>
        <v>42192</v>
      </c>
      <c r="Q72" s="17">
        <f t="shared" ca="1" si="5"/>
        <v>11</v>
      </c>
      <c r="R72" s="14">
        <f>IF(F72="",AVERAGEIF($D$2:$D$151,D72,$F$2:$F$151),F72)</f>
        <v>65235</v>
      </c>
      <c r="S72" s="17">
        <f>IF(G72="",AVERAGE($G$2:$G$158),G72)</f>
        <v>87</v>
      </c>
      <c r="T72" s="6" t="str">
        <f>_xlfn.XLOOKUP(S72,Lookup_Performance!$A$2:$A$6,Lookup_Performance!$C$2:$C$6,"Not Found",-1)</f>
        <v>Exceeding</v>
      </c>
      <c r="U72" s="24">
        <f>_xlfn.XLOOKUP(S72,Lookup_Performance!$A$2:$A$6,Lookup_Performance!$D$2:$D$6,"Not Found",-1)</f>
        <v>0.08</v>
      </c>
      <c r="V72" s="6" t="str">
        <f>TRIM(CLEAN(UPPER(H72)))</f>
        <v>ACTIVE</v>
      </c>
    </row>
    <row r="73" spans="1:22" x14ac:dyDescent="0.35">
      <c r="A73" s="4" t="s">
        <v>146</v>
      </c>
      <c r="B73" s="6" t="s">
        <v>24</v>
      </c>
      <c r="C73" s="6" t="s">
        <v>19</v>
      </c>
      <c r="D73" s="6" t="s">
        <v>43</v>
      </c>
      <c r="E73" s="8">
        <v>43283</v>
      </c>
      <c r="G73">
        <v>97</v>
      </c>
      <c r="H73" t="s">
        <v>17</v>
      </c>
      <c r="J73" s="4" t="str">
        <f>TRIM(CLEAN(A73))</f>
        <v>EMP029</v>
      </c>
      <c r="K73" s="6" t="str">
        <f>TRIM(CLEAN(PROPER(B73)))</f>
        <v>John</v>
      </c>
      <c r="L73" s="6" t="str">
        <f>TRIM(CLEAN(PROPER(C73)))</f>
        <v>Gonzalez</v>
      </c>
      <c r="M73" s="22" t="str">
        <f t="shared" si="3"/>
        <v>John Gonzalez</v>
      </c>
      <c r="N73" s="22" t="str">
        <f>_xlfn.XLOOKUP(O73,Lookup_Departments!$A$2:$A$7,Lookup_Departments!$B$2:$B$7,"Not Found")</f>
        <v>Sales</v>
      </c>
      <c r="O73" s="4" t="str">
        <f>IFERROR(VLOOKUP(D73,Lookup_Departments!$A$2:$B$7,1,FALSE),"Invalid")</f>
        <v>SAL05</v>
      </c>
      <c r="P73" s="8">
        <f t="shared" si="4"/>
        <v>43283</v>
      </c>
      <c r="Q73" s="17">
        <f t="shared" ca="1" si="5"/>
        <v>8</v>
      </c>
      <c r="R73" s="14">
        <f>IF(F73="",AVERAGEIF($D$2:$D$151,D73,$F$2:$F$151),F73)</f>
        <v>87282.34782608696</v>
      </c>
      <c r="S73" s="17">
        <f>IF(G73="",AVERAGE($G$2:$G$158),G73)</f>
        <v>97</v>
      </c>
      <c r="T73" s="6" t="str">
        <f>_xlfn.XLOOKUP(S73,Lookup_Performance!$A$2:$A$6,Lookup_Performance!$C$2:$C$6,"Not Found",-1)</f>
        <v>Outstanding</v>
      </c>
      <c r="U73" s="24">
        <f>_xlfn.XLOOKUP(S73,Lookup_Performance!$A$2:$A$6,Lookup_Performance!$D$2:$D$6,"Not Found",-1)</f>
        <v>0.12</v>
      </c>
      <c r="V73" s="6" t="str">
        <f>TRIM(CLEAN(UPPER(H73)))</f>
        <v>ACTIVE</v>
      </c>
    </row>
    <row r="74" spans="1:22" x14ac:dyDescent="0.35">
      <c r="A74" s="4" t="s">
        <v>147</v>
      </c>
      <c r="B74" s="6" t="s">
        <v>64</v>
      </c>
      <c r="C74" s="6" t="s">
        <v>19</v>
      </c>
      <c r="D74" s="6" t="s">
        <v>43</v>
      </c>
      <c r="E74" s="8">
        <v>44819</v>
      </c>
      <c r="G74">
        <v>72</v>
      </c>
      <c r="H74" t="s">
        <v>22</v>
      </c>
      <c r="J74" s="4" t="str">
        <f>TRIM(CLEAN(A74))</f>
        <v>EMP041</v>
      </c>
      <c r="K74" s="6" t="str">
        <f>TRIM(CLEAN(PROPER(B74)))</f>
        <v>James</v>
      </c>
      <c r="L74" s="6" t="str">
        <f>TRIM(CLEAN(PROPER(C74)))</f>
        <v>Gonzalez</v>
      </c>
      <c r="M74" s="22" t="str">
        <f t="shared" si="3"/>
        <v>James Gonzalez</v>
      </c>
      <c r="N74" s="22" t="str">
        <f>_xlfn.XLOOKUP(O74,Lookup_Departments!$A$2:$A$7,Lookup_Departments!$B$2:$B$7,"Not Found")</f>
        <v>Sales</v>
      </c>
      <c r="O74" s="4" t="str">
        <f>IFERROR(VLOOKUP(D74,Lookup_Departments!$A$2:$B$7,1,FALSE),"Invalid")</f>
        <v>SAL05</v>
      </c>
      <c r="P74" s="8">
        <f t="shared" si="4"/>
        <v>44819</v>
      </c>
      <c r="Q74" s="17">
        <f t="shared" ca="1" si="5"/>
        <v>3</v>
      </c>
      <c r="R74" s="14">
        <f>IF(F74="",AVERAGEIF($D$2:$D$151,D74,$F$2:$F$151),F74)</f>
        <v>87282.34782608696</v>
      </c>
      <c r="S74" s="17">
        <f>IF(G74="",AVERAGE($G$2:$G$158),G74)</f>
        <v>72</v>
      </c>
      <c r="T74" s="6" t="str">
        <f>_xlfn.XLOOKUP(S74,Lookup_Performance!$A$2:$A$6,Lookup_Performance!$C$2:$C$6,"Not Found",-1)</f>
        <v>Achieving</v>
      </c>
      <c r="U74" s="24">
        <f>_xlfn.XLOOKUP(S74,Lookup_Performance!$A$2:$A$6,Lookup_Performance!$D$2:$D$6,"Not Found",-1)</f>
        <v>0.05</v>
      </c>
      <c r="V74" s="6" t="str">
        <f>TRIM(CLEAN(UPPER(H74)))</f>
        <v>LEFT</v>
      </c>
    </row>
    <row r="75" spans="1:22" x14ac:dyDescent="0.35">
      <c r="A75" s="4" t="s">
        <v>148</v>
      </c>
      <c r="B75" s="6" t="s">
        <v>52</v>
      </c>
      <c r="C75" s="6" t="s">
        <v>19</v>
      </c>
      <c r="D75" s="6" t="s">
        <v>43</v>
      </c>
      <c r="E75" s="8">
        <v>42249</v>
      </c>
      <c r="G75">
        <v>65</v>
      </c>
      <c r="H75" t="s">
        <v>22</v>
      </c>
      <c r="J75" s="4" t="str">
        <f>TRIM(CLEAN(A75))</f>
        <v>EMP026</v>
      </c>
      <c r="K75" s="6" t="str">
        <f>TRIM(CLEAN(PROPER(B75)))</f>
        <v>Jane</v>
      </c>
      <c r="L75" s="6" t="str">
        <f>TRIM(CLEAN(PROPER(C75)))</f>
        <v>Gonzalez</v>
      </c>
      <c r="M75" s="22" t="str">
        <f t="shared" si="3"/>
        <v>Jane Gonzalez</v>
      </c>
      <c r="N75" s="22" t="str">
        <f>_xlfn.XLOOKUP(O75,Lookup_Departments!$A$2:$A$7,Lookup_Departments!$B$2:$B$7,"Not Found")</f>
        <v>Sales</v>
      </c>
      <c r="O75" s="4" t="str">
        <f>IFERROR(VLOOKUP(D75,Lookup_Departments!$A$2:$B$7,1,FALSE),"Invalid")</f>
        <v>SAL05</v>
      </c>
      <c r="P75" s="8">
        <f t="shared" si="4"/>
        <v>42249</v>
      </c>
      <c r="Q75" s="17">
        <f t="shared" ca="1" si="5"/>
        <v>10</v>
      </c>
      <c r="R75" s="14">
        <f>IF(F75="",AVERAGEIF($D$2:$D$151,D75,$F$2:$F$151),F75)</f>
        <v>87282.34782608696</v>
      </c>
      <c r="S75" s="17">
        <f>IF(G75="",AVERAGE($G$2:$G$158),G75)</f>
        <v>65</v>
      </c>
      <c r="T75" s="6" t="str">
        <f>_xlfn.XLOOKUP(S75,Lookup_Performance!$A$2:$A$6,Lookup_Performance!$C$2:$C$6,"Not Found",-1)</f>
        <v>Developing</v>
      </c>
      <c r="U75" s="24">
        <f>_xlfn.XLOOKUP(S75,Lookup_Performance!$A$2:$A$6,Lookup_Performance!$D$2:$D$6,"Not Found",-1)</f>
        <v>0.02</v>
      </c>
      <c r="V75" s="6" t="str">
        <f>TRIM(CLEAN(UPPER(H75)))</f>
        <v>LEFT</v>
      </c>
    </row>
    <row r="76" spans="1:22" x14ac:dyDescent="0.35">
      <c r="A76" s="4" t="s">
        <v>149</v>
      </c>
      <c r="B76" s="6" t="s">
        <v>104</v>
      </c>
      <c r="C76" s="6" t="s">
        <v>35</v>
      </c>
      <c r="D76" s="6" t="s">
        <v>33</v>
      </c>
      <c r="E76" s="8">
        <v>42654</v>
      </c>
      <c r="F76" s="10">
        <v>48823</v>
      </c>
      <c r="G76">
        <v>91</v>
      </c>
      <c r="H76" t="s">
        <v>12</v>
      </c>
      <c r="J76" s="4" t="str">
        <f>TRIM(CLEAN(A76))</f>
        <v>EMP024</v>
      </c>
      <c r="K76" s="6" t="str">
        <f>TRIM(CLEAN(PROPER(B76)))</f>
        <v>David</v>
      </c>
      <c r="L76" s="6" t="str">
        <f>TRIM(CLEAN(PROPER(C76)))</f>
        <v>Wilson</v>
      </c>
      <c r="M76" s="22" t="str">
        <f t="shared" si="3"/>
        <v>David Wilson</v>
      </c>
      <c r="N76" s="22" t="str">
        <f>_xlfn.XLOOKUP(O76,Lookup_Departments!$A$2:$A$7,Lookup_Departments!$B$2:$B$7,"Not Found")</f>
        <v>Operations</v>
      </c>
      <c r="O76" s="4" t="str">
        <f>IFERROR(VLOOKUP(D76,Lookup_Departments!$A$2:$B$7,1,FALSE),"Invalid")</f>
        <v>OPS06</v>
      </c>
      <c r="P76" s="8">
        <f t="shared" si="4"/>
        <v>42654</v>
      </c>
      <c r="Q76" s="17">
        <f t="shared" ca="1" si="5"/>
        <v>9</v>
      </c>
      <c r="R76" s="14">
        <f>IF(F76="",AVERAGEIF($D$2:$D$151,D76,$F$2:$F$151),F76)</f>
        <v>48823</v>
      </c>
      <c r="S76" s="17">
        <f>IF(G76="",AVERAGE($G$2:$G$158),G76)</f>
        <v>91</v>
      </c>
      <c r="T76" s="6" t="str">
        <f>_xlfn.XLOOKUP(S76,Lookup_Performance!$A$2:$A$6,Lookup_Performance!$C$2:$C$6,"Not Found",-1)</f>
        <v>Exceeding</v>
      </c>
      <c r="U76" s="24">
        <f>_xlfn.XLOOKUP(S76,Lookup_Performance!$A$2:$A$6,Lookup_Performance!$D$2:$D$6,"Not Found",-1)</f>
        <v>0.08</v>
      </c>
      <c r="V76" s="6" t="str">
        <f>TRIM(CLEAN(UPPER(H76)))</f>
        <v>ACTIVE</v>
      </c>
    </row>
    <row r="77" spans="1:22" x14ac:dyDescent="0.35">
      <c r="A77" s="4" t="s">
        <v>151</v>
      </c>
      <c r="B77" s="6" t="s">
        <v>52</v>
      </c>
      <c r="C77" s="6" t="s">
        <v>19</v>
      </c>
      <c r="D77" s="6" t="s">
        <v>26</v>
      </c>
      <c r="E77" s="8">
        <v>43575</v>
      </c>
      <c r="F77" s="10">
        <v>45196</v>
      </c>
      <c r="G77">
        <v>67</v>
      </c>
      <c r="H77" t="s">
        <v>265</v>
      </c>
      <c r="J77" s="4" t="str">
        <f>TRIM(CLEAN(A77))</f>
        <v>EMP111</v>
      </c>
      <c r="K77" s="6" t="str">
        <f>TRIM(CLEAN(PROPER(B77)))</f>
        <v>Jane</v>
      </c>
      <c r="L77" s="6" t="str">
        <f>TRIM(CLEAN(PROPER(C77)))</f>
        <v>Gonzalez</v>
      </c>
      <c r="M77" s="22" t="str">
        <f t="shared" si="3"/>
        <v>Jane Gonzalez</v>
      </c>
      <c r="N77" s="22" t="str">
        <f>_xlfn.XLOOKUP(O77,Lookup_Departments!$A$2:$A$7,Lookup_Departments!$B$2:$B$7,"Not Found")</f>
        <v>Finance</v>
      </c>
      <c r="O77" s="4" t="str">
        <f>IFERROR(VLOOKUP(D77,Lookup_Departments!$A$2:$B$7,1,FALSE),"Invalid")</f>
        <v>FIN03</v>
      </c>
      <c r="P77" s="8">
        <f t="shared" si="4"/>
        <v>43575</v>
      </c>
      <c r="Q77" s="17">
        <f t="shared" ca="1" si="5"/>
        <v>7</v>
      </c>
      <c r="R77" s="14">
        <f>IF(F77="",AVERAGEIF($D$2:$D$151,D77,$F$2:$F$151),F77)</f>
        <v>45196</v>
      </c>
      <c r="S77" s="17">
        <f>IF(G77="",AVERAGE($G$2:$G$158),G77)</f>
        <v>67</v>
      </c>
      <c r="T77" s="6" t="str">
        <f>_xlfn.XLOOKUP(S77,Lookup_Performance!$A$2:$A$6,Lookup_Performance!$C$2:$C$6,"Not Found",-1)</f>
        <v>Developing</v>
      </c>
      <c r="U77" s="24">
        <f>_xlfn.XLOOKUP(S77,Lookup_Performance!$A$2:$A$6,Lookup_Performance!$D$2:$D$6,"Not Found",-1)</f>
        <v>0.02</v>
      </c>
      <c r="V77" s="6" t="str">
        <f>TRIM(CLEAN(UPPER(H77)))</f>
        <v>ACTIVE</v>
      </c>
    </row>
    <row r="78" spans="1:22" x14ac:dyDescent="0.35">
      <c r="A78" s="4" t="s">
        <v>152</v>
      </c>
      <c r="B78" s="6" t="s">
        <v>52</v>
      </c>
      <c r="C78" s="6" t="s">
        <v>40</v>
      </c>
      <c r="D78" s="6" t="s">
        <v>11</v>
      </c>
      <c r="E78" s="8" t="s">
        <v>153</v>
      </c>
      <c r="F78" s="10">
        <v>86246</v>
      </c>
      <c r="G78">
        <v>34</v>
      </c>
      <c r="H78" t="s">
        <v>17</v>
      </c>
      <c r="J78" s="4" t="str">
        <f>TRIM(CLEAN(A78))</f>
        <v>EMP040</v>
      </c>
      <c r="K78" s="6" t="str">
        <f>TRIM(CLEAN(PROPER(B78)))</f>
        <v>Jane</v>
      </c>
      <c r="L78" s="6" t="str">
        <f>TRIM(CLEAN(PROPER(C78)))</f>
        <v>Rodriguez</v>
      </c>
      <c r="M78" s="22" t="str">
        <f t="shared" si="3"/>
        <v>Jane Rodriguez</v>
      </c>
      <c r="N78" s="22" t="str">
        <f>_xlfn.XLOOKUP(O78,Lookup_Departments!$A$2:$A$7,Lookup_Departments!$B$2:$B$7,"Not Found")</f>
        <v>Information Technology</v>
      </c>
      <c r="O78" s="4" t="str">
        <f>IFERROR(VLOOKUP(D78,Lookup_Departments!$A$2:$B$7,1,FALSE),"Invalid")</f>
        <v>IT02</v>
      </c>
      <c r="P78" s="8">
        <f t="shared" si="4"/>
        <v>42785</v>
      </c>
      <c r="Q78" s="17">
        <f t="shared" ca="1" si="5"/>
        <v>9</v>
      </c>
      <c r="R78" s="14">
        <f>IF(F78="",AVERAGEIF($D$2:$D$151,D78,$F$2:$F$151),F78)</f>
        <v>86246</v>
      </c>
      <c r="S78" s="17">
        <f>IF(G78="",AVERAGE($G$2:$G$158),G78)</f>
        <v>34</v>
      </c>
      <c r="T78" s="6" t="str">
        <f>_xlfn.XLOOKUP(S78,Lookup_Performance!$A$2:$A$6,Lookup_Performance!$C$2:$C$6,"Not Found",-1)</f>
        <v>Needs Improvement</v>
      </c>
      <c r="U78" s="24">
        <f>_xlfn.XLOOKUP(S78,Lookup_Performance!$A$2:$A$6,Lookup_Performance!$D$2:$D$6,"Not Found",-1)</f>
        <v>0</v>
      </c>
      <c r="V78" s="6" t="str">
        <f>TRIM(CLEAN(UPPER(H78)))</f>
        <v>ACTIVE</v>
      </c>
    </row>
    <row r="79" spans="1:22" x14ac:dyDescent="0.35">
      <c r="A79" s="4" t="s">
        <v>155</v>
      </c>
      <c r="B79" s="6" t="s">
        <v>9</v>
      </c>
      <c r="C79" s="6" t="s">
        <v>46</v>
      </c>
      <c r="D79" s="6" t="s">
        <v>43</v>
      </c>
      <c r="E79" s="8">
        <v>44386</v>
      </c>
      <c r="F79" s="10">
        <v>70359</v>
      </c>
      <c r="G79">
        <v>78</v>
      </c>
      <c r="H79" t="s">
        <v>22</v>
      </c>
      <c r="J79" s="4" t="str">
        <f>TRIM(CLEAN(A79))</f>
        <v>EMP086</v>
      </c>
      <c r="K79" s="6" t="str">
        <f>TRIM(CLEAN(PROPER(B79)))</f>
        <v>Emily</v>
      </c>
      <c r="L79" s="6" t="str">
        <f>TRIM(CLEAN(PROPER(C79)))</f>
        <v>Miller</v>
      </c>
      <c r="M79" s="22" t="str">
        <f t="shared" si="3"/>
        <v>Emily Miller</v>
      </c>
      <c r="N79" s="22" t="str">
        <f>_xlfn.XLOOKUP(O79,Lookup_Departments!$A$2:$A$7,Lookup_Departments!$B$2:$B$7,"Not Found")</f>
        <v>Sales</v>
      </c>
      <c r="O79" s="4" t="str">
        <f>IFERROR(VLOOKUP(D79,Lookup_Departments!$A$2:$B$7,1,FALSE),"Invalid")</f>
        <v>SAL05</v>
      </c>
      <c r="P79" s="8">
        <f t="shared" si="4"/>
        <v>44386</v>
      </c>
      <c r="Q79" s="17">
        <f t="shared" ca="1" si="5"/>
        <v>5</v>
      </c>
      <c r="R79" s="14">
        <f>IF(F79="",AVERAGEIF($D$2:$D$151,D79,$F$2:$F$151),F79)</f>
        <v>70359</v>
      </c>
      <c r="S79" s="17">
        <f>IF(G79="",AVERAGE($G$2:$G$158),G79)</f>
        <v>78</v>
      </c>
      <c r="T79" s="6" t="str">
        <f>_xlfn.XLOOKUP(S79,Lookup_Performance!$A$2:$A$6,Lookup_Performance!$C$2:$C$6,"Not Found",-1)</f>
        <v>Achieving</v>
      </c>
      <c r="U79" s="24">
        <f>_xlfn.XLOOKUP(S79,Lookup_Performance!$A$2:$A$6,Lookup_Performance!$D$2:$D$6,"Not Found",-1)</f>
        <v>0.05</v>
      </c>
      <c r="V79" s="6" t="str">
        <f>TRIM(CLEAN(UPPER(H79)))</f>
        <v>LEFT</v>
      </c>
    </row>
    <row r="80" spans="1:22" x14ac:dyDescent="0.35">
      <c r="A80" s="4" t="s">
        <v>156</v>
      </c>
      <c r="B80" s="6" t="s">
        <v>90</v>
      </c>
      <c r="C80" s="6" t="s">
        <v>46</v>
      </c>
      <c r="D80" s="6" t="s">
        <v>16</v>
      </c>
      <c r="E80" s="8">
        <v>43599</v>
      </c>
      <c r="G80">
        <v>61</v>
      </c>
      <c r="H80" t="s">
        <v>265</v>
      </c>
      <c r="J80" s="4" t="str">
        <f>TRIM(CLEAN(A80))</f>
        <v>EMP124</v>
      </c>
      <c r="K80" s="6" t="str">
        <f>TRIM(CLEAN(PROPER(B80)))</f>
        <v>Sarah</v>
      </c>
      <c r="L80" s="6" t="str">
        <f>TRIM(CLEAN(PROPER(C80)))</f>
        <v>Miller</v>
      </c>
      <c r="M80" s="22" t="str">
        <f t="shared" si="3"/>
        <v>Sarah Miller</v>
      </c>
      <c r="N80" s="22" t="str">
        <f>_xlfn.XLOOKUP(O80,Lookup_Departments!$A$2:$A$7,Lookup_Departments!$B$2:$B$7,"Not Found")</f>
        <v>Marketing</v>
      </c>
      <c r="O80" s="4" t="str">
        <f>IFERROR(VLOOKUP(D80,Lookup_Departments!$A$2:$B$7,1,FALSE),"Invalid")</f>
        <v>MKT04</v>
      </c>
      <c r="P80" s="8">
        <f t="shared" si="4"/>
        <v>43599</v>
      </c>
      <c r="Q80" s="17">
        <f t="shared" ca="1" si="5"/>
        <v>7</v>
      </c>
      <c r="R80" s="14">
        <f>IF(F80="",AVERAGEIF($D$2:$D$151,D80,$F$2:$F$151),F80)</f>
        <v>85508.166666666672</v>
      </c>
      <c r="S80" s="17">
        <f>IF(G80="",AVERAGE($G$2:$G$158),G80)</f>
        <v>61</v>
      </c>
      <c r="T80" s="6" t="str">
        <f>_xlfn.XLOOKUP(S80,Lookup_Performance!$A$2:$A$6,Lookup_Performance!$C$2:$C$6,"Not Found",-1)</f>
        <v>Developing</v>
      </c>
      <c r="U80" s="24">
        <f>_xlfn.XLOOKUP(S80,Lookup_Performance!$A$2:$A$6,Lookup_Performance!$D$2:$D$6,"Not Found",-1)</f>
        <v>0.02</v>
      </c>
      <c r="V80" s="6" t="str">
        <f>TRIM(CLEAN(UPPER(H80)))</f>
        <v>ACTIVE</v>
      </c>
    </row>
    <row r="81" spans="1:22" x14ac:dyDescent="0.35">
      <c r="A81" s="4" t="s">
        <v>157</v>
      </c>
      <c r="B81" s="6" t="s">
        <v>38</v>
      </c>
      <c r="C81" s="6" t="s">
        <v>122</v>
      </c>
      <c r="D81" s="6" t="s">
        <v>33</v>
      </c>
      <c r="E81" s="8">
        <v>42330</v>
      </c>
      <c r="F81" s="10">
        <v>86480</v>
      </c>
      <c r="G81">
        <v>74</v>
      </c>
      <c r="H81" t="s">
        <v>30</v>
      </c>
      <c r="J81" s="4" t="str">
        <f>TRIM(CLEAN(A81))</f>
        <v>EMP132</v>
      </c>
      <c r="K81" s="6" t="str">
        <f>TRIM(CLEAN(PROPER(B81)))</f>
        <v>Jessica</v>
      </c>
      <c r="L81" s="6" t="str">
        <f>TRIM(CLEAN(PROPER(C81)))</f>
        <v>Garcia</v>
      </c>
      <c r="M81" s="22" t="str">
        <f t="shared" si="3"/>
        <v>Jessica Garcia</v>
      </c>
      <c r="N81" s="22" t="str">
        <f>_xlfn.XLOOKUP(O81,Lookup_Departments!$A$2:$A$7,Lookup_Departments!$B$2:$B$7,"Not Found")</f>
        <v>Operations</v>
      </c>
      <c r="O81" s="4" t="str">
        <f>IFERROR(VLOOKUP(D81,Lookup_Departments!$A$2:$B$7,1,FALSE),"Invalid")</f>
        <v>OPS06</v>
      </c>
      <c r="P81" s="8">
        <f t="shared" si="4"/>
        <v>42330</v>
      </c>
      <c r="Q81" s="17">
        <f t="shared" ca="1" si="5"/>
        <v>10</v>
      </c>
      <c r="R81" s="14">
        <f>IF(F81="",AVERAGEIF($D$2:$D$151,D81,$F$2:$F$151),F81)</f>
        <v>86480</v>
      </c>
      <c r="S81" s="17">
        <f>IF(G81="",AVERAGE($G$2:$G$158),G81)</f>
        <v>74</v>
      </c>
      <c r="T81" s="6" t="str">
        <f>_xlfn.XLOOKUP(S81,Lookup_Performance!$A$2:$A$6,Lookup_Performance!$C$2:$C$6,"Not Found",-1)</f>
        <v>Achieving</v>
      </c>
      <c r="U81" s="24">
        <f>_xlfn.XLOOKUP(S81,Lookup_Performance!$A$2:$A$6,Lookup_Performance!$D$2:$D$6,"Not Found",-1)</f>
        <v>0.05</v>
      </c>
      <c r="V81" s="6" t="str">
        <f>TRIM(CLEAN(UPPER(H81)))</f>
        <v>LEFT</v>
      </c>
    </row>
    <row r="82" spans="1:22" x14ac:dyDescent="0.35">
      <c r="A82" s="4" t="s">
        <v>158</v>
      </c>
      <c r="B82" s="6" t="s">
        <v>14</v>
      </c>
      <c r="C82" s="6" t="s">
        <v>29</v>
      </c>
      <c r="D82" s="6" t="s">
        <v>92</v>
      </c>
      <c r="E82" s="8" t="s">
        <v>159</v>
      </c>
      <c r="F82" s="10">
        <v>47694</v>
      </c>
      <c r="G82">
        <v>94</v>
      </c>
      <c r="H82" t="s">
        <v>17</v>
      </c>
      <c r="J82" s="4" t="str">
        <f>TRIM(CLEAN(A82))</f>
        <v>EMP048</v>
      </c>
      <c r="K82" s="6" t="str">
        <f>TRIM(CLEAN(PROPER(B82)))</f>
        <v>Richard</v>
      </c>
      <c r="L82" s="6" t="str">
        <f>TRIM(CLEAN(PROPER(C82)))</f>
        <v>Smith</v>
      </c>
      <c r="M82" s="22" t="str">
        <f t="shared" si="3"/>
        <v>Richard Smith</v>
      </c>
      <c r="N82" s="22" t="str">
        <f>_xlfn.XLOOKUP(O82,Lookup_Departments!$A$2:$A$7,Lookup_Departments!$B$2:$B$7,"Not Found")</f>
        <v>Human Resources</v>
      </c>
      <c r="O82" s="4" t="str">
        <f>IFERROR(VLOOKUP(D82,Lookup_Departments!$A$2:$B$7,1,FALSE),"Invalid")</f>
        <v>HR01</v>
      </c>
      <c r="P82" s="8">
        <f t="shared" si="4"/>
        <v>43372</v>
      </c>
      <c r="Q82" s="17">
        <f t="shared" ca="1" si="5"/>
        <v>7</v>
      </c>
      <c r="R82" s="14">
        <f>IF(F82="",AVERAGEIF($D$2:$D$151,D82,$F$2:$F$151),F82)</f>
        <v>47694</v>
      </c>
      <c r="S82" s="17">
        <f>IF(G82="",AVERAGE($G$2:$G$158),G82)</f>
        <v>94</v>
      </c>
      <c r="T82" s="6" t="str">
        <f>_xlfn.XLOOKUP(S82,Lookup_Performance!$A$2:$A$6,Lookup_Performance!$C$2:$C$6,"Not Found",-1)</f>
        <v>Exceeding</v>
      </c>
      <c r="U82" s="24">
        <f>_xlfn.XLOOKUP(S82,Lookup_Performance!$A$2:$A$6,Lookup_Performance!$D$2:$D$6,"Not Found",-1)</f>
        <v>0.08</v>
      </c>
      <c r="V82" s="6" t="str">
        <f>TRIM(CLEAN(UPPER(H82)))</f>
        <v>ACTIVE</v>
      </c>
    </row>
    <row r="83" spans="1:22" x14ac:dyDescent="0.35">
      <c r="A83" s="4" t="s">
        <v>161</v>
      </c>
      <c r="B83" s="6" t="s">
        <v>97</v>
      </c>
      <c r="C83" s="6" t="s">
        <v>35</v>
      </c>
      <c r="D83" s="6" t="s">
        <v>11</v>
      </c>
      <c r="E83" s="8">
        <v>45171</v>
      </c>
      <c r="F83" s="10">
        <v>83724</v>
      </c>
      <c r="G83">
        <v>80</v>
      </c>
      <c r="H83" t="s">
        <v>265</v>
      </c>
      <c r="J83" s="4" t="str">
        <f>TRIM(CLEAN(A83))</f>
        <v>EMP114</v>
      </c>
      <c r="K83" s="6" t="str">
        <f>TRIM(CLEAN(PROPER(B83)))</f>
        <v>Melissa</v>
      </c>
      <c r="L83" s="6" t="str">
        <f>TRIM(CLEAN(PROPER(C83)))</f>
        <v>Wilson</v>
      </c>
      <c r="M83" s="22" t="str">
        <f t="shared" si="3"/>
        <v>Melissa Wilson</v>
      </c>
      <c r="N83" s="22" t="str">
        <f>_xlfn.XLOOKUP(O83,Lookup_Departments!$A$2:$A$7,Lookup_Departments!$B$2:$B$7,"Not Found")</f>
        <v>Information Technology</v>
      </c>
      <c r="O83" s="4" t="str">
        <f>IFERROR(VLOOKUP(D83,Lookup_Departments!$A$2:$B$7,1,FALSE),"Invalid")</f>
        <v>IT02</v>
      </c>
      <c r="P83" s="8">
        <f t="shared" si="4"/>
        <v>45171</v>
      </c>
      <c r="Q83" s="17">
        <f t="shared" ca="1" si="5"/>
        <v>2</v>
      </c>
      <c r="R83" s="14">
        <f>IF(F83="",AVERAGEIF($D$2:$D$151,D83,$F$2:$F$151),F83)</f>
        <v>83724</v>
      </c>
      <c r="S83" s="17">
        <f>IF(G83="",AVERAGE($G$2:$G$158),G83)</f>
        <v>80</v>
      </c>
      <c r="T83" s="6" t="str">
        <f>_xlfn.XLOOKUP(S83,Lookup_Performance!$A$2:$A$6,Lookup_Performance!$C$2:$C$6,"Not Found",-1)</f>
        <v>Achieving</v>
      </c>
      <c r="U83" s="24">
        <f>_xlfn.XLOOKUP(S83,Lookup_Performance!$A$2:$A$6,Lookup_Performance!$D$2:$D$6,"Not Found",-1)</f>
        <v>0.05</v>
      </c>
      <c r="V83" s="6" t="str">
        <f>TRIM(CLEAN(UPPER(H83)))</f>
        <v>ACTIVE</v>
      </c>
    </row>
    <row r="84" spans="1:22" x14ac:dyDescent="0.35">
      <c r="A84" s="4" t="s">
        <v>162</v>
      </c>
      <c r="B84" s="6" t="s">
        <v>28</v>
      </c>
      <c r="C84" s="6" t="s">
        <v>53</v>
      </c>
      <c r="D84" s="6" t="s">
        <v>26</v>
      </c>
      <c r="E84" s="8">
        <v>44759</v>
      </c>
      <c r="F84" s="10">
        <v>98299</v>
      </c>
      <c r="G84"/>
      <c r="H84" t="s">
        <v>17</v>
      </c>
      <c r="J84" s="4" t="str">
        <f>TRIM(CLEAN(A84))</f>
        <v>EMP062</v>
      </c>
      <c r="K84" s="6" t="str">
        <f>TRIM(CLEAN(PROPER(B84)))</f>
        <v>Thomas</v>
      </c>
      <c r="L84" s="6" t="str">
        <f>TRIM(CLEAN(PROPER(C84)))</f>
        <v>Williams</v>
      </c>
      <c r="M84" s="22" t="str">
        <f t="shared" si="3"/>
        <v>Thomas Williams</v>
      </c>
      <c r="N84" s="22" t="str">
        <f>_xlfn.XLOOKUP(O84,Lookup_Departments!$A$2:$A$7,Lookup_Departments!$B$2:$B$7,"Not Found")</f>
        <v>Finance</v>
      </c>
      <c r="O84" s="4" t="str">
        <f>IFERROR(VLOOKUP(D84,Lookup_Departments!$A$2:$B$7,1,FALSE),"Invalid")</f>
        <v>FIN03</v>
      </c>
      <c r="P84" s="8">
        <f t="shared" si="4"/>
        <v>44759</v>
      </c>
      <c r="Q84" s="17">
        <f t="shared" ca="1" si="5"/>
        <v>3</v>
      </c>
      <c r="R84" s="14">
        <f>IF(F84="",AVERAGEIF($D$2:$D$151,D84,$F$2:$F$151),F84)</f>
        <v>98299</v>
      </c>
      <c r="S84" s="17">
        <f>IF(G84="",AVERAGE($G$2:$G$158),G84)</f>
        <v>68.219858156028366</v>
      </c>
      <c r="T84" s="6" t="str">
        <f>_xlfn.XLOOKUP(S84,Lookup_Performance!$A$2:$A$6,Lookup_Performance!$C$2:$C$6,"Not Found",-1)</f>
        <v>Developing</v>
      </c>
      <c r="U84" s="24">
        <f>_xlfn.XLOOKUP(S84,Lookup_Performance!$A$2:$A$6,Lookup_Performance!$D$2:$D$6,"Not Found",-1)</f>
        <v>0.02</v>
      </c>
      <c r="V84" s="6" t="str">
        <f>TRIM(CLEAN(UPPER(H84)))</f>
        <v>ACTIVE</v>
      </c>
    </row>
    <row r="85" spans="1:22" x14ac:dyDescent="0.35">
      <c r="A85" s="4" t="s">
        <v>163</v>
      </c>
      <c r="B85" s="6" t="s">
        <v>104</v>
      </c>
      <c r="C85" s="6" t="s">
        <v>53</v>
      </c>
      <c r="D85" s="6" t="s">
        <v>26</v>
      </c>
      <c r="E85" s="8">
        <v>44234</v>
      </c>
      <c r="G85">
        <v>75</v>
      </c>
      <c r="H85" t="s">
        <v>17</v>
      </c>
      <c r="J85" s="4" t="str">
        <f>TRIM(CLEAN(A85))</f>
        <v>EMP074</v>
      </c>
      <c r="K85" s="6" t="str">
        <f>TRIM(CLEAN(PROPER(B85)))</f>
        <v>David</v>
      </c>
      <c r="L85" s="6" t="str">
        <f>TRIM(CLEAN(PROPER(C85)))</f>
        <v>Williams</v>
      </c>
      <c r="M85" s="22" t="str">
        <f t="shared" si="3"/>
        <v>David Williams</v>
      </c>
      <c r="N85" s="22" t="str">
        <f>_xlfn.XLOOKUP(O85,Lookup_Departments!$A$2:$A$7,Lookup_Departments!$B$2:$B$7,"Not Found")</f>
        <v>Finance</v>
      </c>
      <c r="O85" s="4" t="str">
        <f>IFERROR(VLOOKUP(D85,Lookup_Departments!$A$2:$B$7,1,FALSE),"Invalid")</f>
        <v>FIN03</v>
      </c>
      <c r="P85" s="8">
        <f t="shared" si="4"/>
        <v>44234</v>
      </c>
      <c r="Q85" s="17">
        <f t="shared" ca="1" si="5"/>
        <v>5</v>
      </c>
      <c r="R85" s="14">
        <f>IF(F85="",AVERAGEIF($D$2:$D$151,D85,$F$2:$F$151),F85)</f>
        <v>87938.5</v>
      </c>
      <c r="S85" s="17">
        <f>IF(G85="",AVERAGE($G$2:$G$158),G85)</f>
        <v>75</v>
      </c>
      <c r="T85" s="6" t="str">
        <f>_xlfn.XLOOKUP(S85,Lookup_Performance!$A$2:$A$6,Lookup_Performance!$C$2:$C$6,"Not Found",-1)</f>
        <v>Achieving</v>
      </c>
      <c r="U85" s="24">
        <f>_xlfn.XLOOKUP(S85,Lookup_Performance!$A$2:$A$6,Lookup_Performance!$D$2:$D$6,"Not Found",-1)</f>
        <v>0.05</v>
      </c>
      <c r="V85" s="6" t="str">
        <f>TRIM(CLEAN(UPPER(H85)))</f>
        <v>ACTIVE</v>
      </c>
    </row>
    <row r="86" spans="1:22" x14ac:dyDescent="0.35">
      <c r="A86" s="4" t="s">
        <v>164</v>
      </c>
      <c r="B86" s="6" t="s">
        <v>24</v>
      </c>
      <c r="C86" s="6" t="s">
        <v>32</v>
      </c>
      <c r="D86" s="6" t="s">
        <v>11</v>
      </c>
      <c r="E86" s="8">
        <v>45026</v>
      </c>
      <c r="F86" s="10">
        <v>52287</v>
      </c>
      <c r="G86">
        <v>81</v>
      </c>
      <c r="H86" t="s">
        <v>107</v>
      </c>
      <c r="J86" s="4" t="str">
        <f>TRIM(CLEAN(A86))</f>
        <v>EMP034</v>
      </c>
      <c r="K86" s="6" t="str">
        <f>TRIM(CLEAN(PROPER(B86)))</f>
        <v>John</v>
      </c>
      <c r="L86" s="6" t="str">
        <f>TRIM(CLEAN(PROPER(C86)))</f>
        <v>Johnson</v>
      </c>
      <c r="M86" s="22" t="str">
        <f t="shared" si="3"/>
        <v>John Johnson</v>
      </c>
      <c r="N86" s="22" t="str">
        <f>_xlfn.XLOOKUP(O86,Lookup_Departments!$A$2:$A$7,Lookup_Departments!$B$2:$B$7,"Not Found")</f>
        <v>Information Technology</v>
      </c>
      <c r="O86" s="4" t="str">
        <f>IFERROR(VLOOKUP(D86,Lookup_Departments!$A$2:$B$7,1,FALSE),"Invalid")</f>
        <v>IT02</v>
      </c>
      <c r="P86" s="8">
        <f t="shared" si="4"/>
        <v>45026</v>
      </c>
      <c r="Q86" s="17">
        <f t="shared" ca="1" si="5"/>
        <v>3</v>
      </c>
      <c r="R86" s="14">
        <f>IF(F86="",AVERAGEIF($D$2:$D$151,D86,$F$2:$F$151),F86)</f>
        <v>52287</v>
      </c>
      <c r="S86" s="17">
        <f>IF(G86="",AVERAGE($G$2:$G$158),G86)</f>
        <v>81</v>
      </c>
      <c r="T86" s="6" t="str">
        <f>_xlfn.XLOOKUP(S86,Lookup_Performance!$A$2:$A$6,Lookup_Performance!$C$2:$C$6,"Not Found",-1)</f>
        <v>Achieving</v>
      </c>
      <c r="U86" s="24">
        <f>_xlfn.XLOOKUP(S86,Lookup_Performance!$A$2:$A$6,Lookup_Performance!$D$2:$D$6,"Not Found",-1)</f>
        <v>0.05</v>
      </c>
      <c r="V86" s="6" t="str">
        <f>TRIM(CLEAN(UPPER(H86)))</f>
        <v>RESIGNED</v>
      </c>
    </row>
    <row r="87" spans="1:22" x14ac:dyDescent="0.35">
      <c r="A87" s="4" t="s">
        <v>165</v>
      </c>
      <c r="B87" s="6" t="s">
        <v>14</v>
      </c>
      <c r="C87" s="6" t="s">
        <v>19</v>
      </c>
      <c r="D87" s="6" t="s">
        <v>11</v>
      </c>
      <c r="E87" s="8">
        <v>44073</v>
      </c>
      <c r="F87" s="10">
        <v>82633</v>
      </c>
      <c r="G87">
        <v>61</v>
      </c>
      <c r="H87" t="s">
        <v>265</v>
      </c>
      <c r="J87" s="4" t="str">
        <f>TRIM(CLEAN(A87))</f>
        <v>EMP105</v>
      </c>
      <c r="K87" s="6" t="str">
        <f>TRIM(CLEAN(PROPER(B87)))</f>
        <v>Richard</v>
      </c>
      <c r="L87" s="6" t="str">
        <f>TRIM(CLEAN(PROPER(C87)))</f>
        <v>Gonzalez</v>
      </c>
      <c r="M87" s="22" t="str">
        <f t="shared" si="3"/>
        <v>Richard Gonzalez</v>
      </c>
      <c r="N87" s="22" t="str">
        <f>_xlfn.XLOOKUP(O87,Lookup_Departments!$A$2:$A$7,Lookup_Departments!$B$2:$B$7,"Not Found")</f>
        <v>Information Technology</v>
      </c>
      <c r="O87" s="4" t="str">
        <f>IFERROR(VLOOKUP(D87,Lookup_Departments!$A$2:$B$7,1,FALSE),"Invalid")</f>
        <v>IT02</v>
      </c>
      <c r="P87" s="8">
        <f t="shared" si="4"/>
        <v>44073</v>
      </c>
      <c r="Q87" s="17">
        <f t="shared" ca="1" si="5"/>
        <v>5</v>
      </c>
      <c r="R87" s="14">
        <f>IF(F87="",AVERAGEIF($D$2:$D$151,D87,$F$2:$F$151),F87)</f>
        <v>82633</v>
      </c>
      <c r="S87" s="17">
        <f>IF(G87="",AVERAGE($G$2:$G$158),G87)</f>
        <v>61</v>
      </c>
      <c r="T87" s="6" t="str">
        <f>_xlfn.XLOOKUP(S87,Lookup_Performance!$A$2:$A$6,Lookup_Performance!$C$2:$C$6,"Not Found",-1)</f>
        <v>Developing</v>
      </c>
      <c r="U87" s="24">
        <f>_xlfn.XLOOKUP(S87,Lookup_Performance!$A$2:$A$6,Lookup_Performance!$D$2:$D$6,"Not Found",-1)</f>
        <v>0.02</v>
      </c>
      <c r="V87" s="6" t="str">
        <f>TRIM(CLEAN(UPPER(H87)))</f>
        <v>ACTIVE</v>
      </c>
    </row>
    <row r="88" spans="1:22" x14ac:dyDescent="0.35">
      <c r="A88" s="4" t="s">
        <v>166</v>
      </c>
      <c r="B88" s="6" t="s">
        <v>97</v>
      </c>
      <c r="C88" s="6" t="s">
        <v>124</v>
      </c>
      <c r="D88" s="6" t="s">
        <v>33</v>
      </c>
      <c r="E88" s="8">
        <v>44422</v>
      </c>
      <c r="F88" s="10">
        <v>46508</v>
      </c>
      <c r="G88">
        <v>68</v>
      </c>
      <c r="H88" t="s">
        <v>265</v>
      </c>
      <c r="J88" s="4" t="str">
        <f>TRIM(CLEAN(A88))</f>
        <v>EMP118</v>
      </c>
      <c r="K88" s="6" t="str">
        <f>TRIM(CLEAN(PROPER(B88)))</f>
        <v>Melissa</v>
      </c>
      <c r="L88" s="6" t="str">
        <f>TRIM(CLEAN(PROPER(C88)))</f>
        <v>Anderson</v>
      </c>
      <c r="M88" s="22" t="str">
        <f t="shared" si="3"/>
        <v>Melissa Anderson</v>
      </c>
      <c r="N88" s="22" t="str">
        <f>_xlfn.XLOOKUP(O88,Lookup_Departments!$A$2:$A$7,Lookup_Departments!$B$2:$B$7,"Not Found")</f>
        <v>Operations</v>
      </c>
      <c r="O88" s="4" t="str">
        <f>IFERROR(VLOOKUP(D88,Lookup_Departments!$A$2:$B$7,1,FALSE),"Invalid")</f>
        <v>OPS06</v>
      </c>
      <c r="P88" s="8">
        <f t="shared" si="4"/>
        <v>44422</v>
      </c>
      <c r="Q88" s="17">
        <f t="shared" ca="1" si="5"/>
        <v>4</v>
      </c>
      <c r="R88" s="14">
        <f>IF(F88="",AVERAGEIF($D$2:$D$151,D88,$F$2:$F$151),F88)</f>
        <v>46508</v>
      </c>
      <c r="S88" s="17">
        <f>IF(G88="",AVERAGE($G$2:$G$158),G88)</f>
        <v>68</v>
      </c>
      <c r="T88" s="6" t="str">
        <f>_xlfn.XLOOKUP(S88,Lookup_Performance!$A$2:$A$6,Lookup_Performance!$C$2:$C$6,"Not Found",-1)</f>
        <v>Developing</v>
      </c>
      <c r="U88" s="24">
        <f>_xlfn.XLOOKUP(S88,Lookup_Performance!$A$2:$A$6,Lookup_Performance!$D$2:$D$6,"Not Found",-1)</f>
        <v>0.02</v>
      </c>
      <c r="V88" s="6" t="str">
        <f>TRIM(CLEAN(UPPER(H88)))</f>
        <v>ACTIVE</v>
      </c>
    </row>
    <row r="89" spans="1:22" x14ac:dyDescent="0.35">
      <c r="A89" s="4" t="s">
        <v>167</v>
      </c>
      <c r="B89" s="6" t="s">
        <v>9</v>
      </c>
      <c r="C89" s="6" t="s">
        <v>19</v>
      </c>
      <c r="D89" s="6" t="s">
        <v>92</v>
      </c>
      <c r="E89" s="8">
        <v>43796</v>
      </c>
      <c r="F89" s="10">
        <v>86232</v>
      </c>
      <c r="G89">
        <v>70</v>
      </c>
      <c r="H89" t="s">
        <v>12</v>
      </c>
      <c r="J89" s="4" t="str">
        <f>TRIM(CLEAN(A89))</f>
        <v>EMP063</v>
      </c>
      <c r="K89" s="6" t="str">
        <f>TRIM(CLEAN(PROPER(B89)))</f>
        <v>Emily</v>
      </c>
      <c r="L89" s="6" t="str">
        <f>TRIM(CLEAN(PROPER(C89)))</f>
        <v>Gonzalez</v>
      </c>
      <c r="M89" s="22" t="str">
        <f t="shared" si="3"/>
        <v>Emily Gonzalez</v>
      </c>
      <c r="N89" s="22" t="str">
        <f>_xlfn.XLOOKUP(O89,Lookup_Departments!$A$2:$A$7,Lookup_Departments!$B$2:$B$7,"Not Found")</f>
        <v>Human Resources</v>
      </c>
      <c r="O89" s="4" t="str">
        <f>IFERROR(VLOOKUP(D89,Lookup_Departments!$A$2:$B$7,1,FALSE),"Invalid")</f>
        <v>HR01</v>
      </c>
      <c r="P89" s="8">
        <f t="shared" si="4"/>
        <v>43796</v>
      </c>
      <c r="Q89" s="17">
        <f t="shared" ca="1" si="5"/>
        <v>6</v>
      </c>
      <c r="R89" s="14">
        <f>IF(F89="",AVERAGEIF($D$2:$D$151,D89,$F$2:$F$151),F89)</f>
        <v>86232</v>
      </c>
      <c r="S89" s="17">
        <f>IF(G89="",AVERAGE($G$2:$G$158),G89)</f>
        <v>70</v>
      </c>
      <c r="T89" s="6" t="str">
        <f>_xlfn.XLOOKUP(S89,Lookup_Performance!$A$2:$A$6,Lookup_Performance!$C$2:$C$6,"Not Found",-1)</f>
        <v>Achieving</v>
      </c>
      <c r="U89" s="24">
        <f>_xlfn.XLOOKUP(S89,Lookup_Performance!$A$2:$A$6,Lookup_Performance!$D$2:$D$6,"Not Found",-1)</f>
        <v>0.05</v>
      </c>
      <c r="V89" s="6" t="str">
        <f>TRIM(CLEAN(UPPER(H89)))</f>
        <v>ACTIVE</v>
      </c>
    </row>
    <row r="90" spans="1:22" x14ac:dyDescent="0.35">
      <c r="A90" s="4" t="s">
        <v>168</v>
      </c>
      <c r="B90" s="6" t="s">
        <v>52</v>
      </c>
      <c r="C90" s="6" t="s">
        <v>62</v>
      </c>
      <c r="D90" s="6" t="s">
        <v>11</v>
      </c>
      <c r="E90" s="8">
        <v>42880</v>
      </c>
      <c r="F90" s="10">
        <v>77545</v>
      </c>
      <c r="G90">
        <v>98</v>
      </c>
      <c r="H90" t="s">
        <v>17</v>
      </c>
      <c r="J90" s="4" t="str">
        <f>TRIM(CLEAN(A90))</f>
        <v>EMP094</v>
      </c>
      <c r="K90" s="6" t="str">
        <f>TRIM(CLEAN(PROPER(B90)))</f>
        <v>Jane</v>
      </c>
      <c r="L90" s="6" t="str">
        <f>TRIM(CLEAN(PROPER(C90)))</f>
        <v>Davis</v>
      </c>
      <c r="M90" s="22" t="str">
        <f t="shared" si="3"/>
        <v>Jane Davis</v>
      </c>
      <c r="N90" s="22" t="str">
        <f>_xlfn.XLOOKUP(O90,Lookup_Departments!$A$2:$A$7,Lookup_Departments!$B$2:$B$7,"Not Found")</f>
        <v>Information Technology</v>
      </c>
      <c r="O90" s="4" t="str">
        <f>IFERROR(VLOOKUP(D90,Lookup_Departments!$A$2:$B$7,1,FALSE),"Invalid")</f>
        <v>IT02</v>
      </c>
      <c r="P90" s="8">
        <f t="shared" si="4"/>
        <v>42880</v>
      </c>
      <c r="Q90" s="17">
        <f t="shared" ca="1" si="5"/>
        <v>9</v>
      </c>
      <c r="R90" s="14">
        <f>IF(F90="",AVERAGEIF($D$2:$D$151,D90,$F$2:$F$151),F90)</f>
        <v>77545</v>
      </c>
      <c r="S90" s="17">
        <f>IF(G90="",AVERAGE($G$2:$G$158),G90)</f>
        <v>98</v>
      </c>
      <c r="T90" s="6" t="str">
        <f>_xlfn.XLOOKUP(S90,Lookup_Performance!$A$2:$A$6,Lookup_Performance!$C$2:$C$6,"Not Found",-1)</f>
        <v>Outstanding</v>
      </c>
      <c r="U90" s="24">
        <f>_xlfn.XLOOKUP(S90,Lookup_Performance!$A$2:$A$6,Lookup_Performance!$D$2:$D$6,"Not Found",-1)</f>
        <v>0.12</v>
      </c>
      <c r="V90" s="6" t="str">
        <f>TRIM(CLEAN(UPPER(H90)))</f>
        <v>ACTIVE</v>
      </c>
    </row>
    <row r="91" spans="1:22" x14ac:dyDescent="0.35">
      <c r="A91" s="4" t="s">
        <v>170</v>
      </c>
      <c r="B91" s="6" t="s">
        <v>145</v>
      </c>
      <c r="C91" s="6" t="s">
        <v>19</v>
      </c>
      <c r="D91" s="6" t="s">
        <v>33</v>
      </c>
      <c r="E91" s="8">
        <v>43436</v>
      </c>
      <c r="F91" s="10">
        <v>68683</v>
      </c>
      <c r="G91">
        <v>34</v>
      </c>
      <c r="H91" t="s">
        <v>44</v>
      </c>
      <c r="J91" s="4" t="str">
        <f>TRIM(CLEAN(A91))</f>
        <v>EMP097</v>
      </c>
      <c r="K91" s="6" t="str">
        <f>TRIM(CLEAN(PROPER(B91)))</f>
        <v>William</v>
      </c>
      <c r="L91" s="6" t="str">
        <f>TRIM(CLEAN(PROPER(C91)))</f>
        <v>Gonzalez</v>
      </c>
      <c r="M91" s="22" t="str">
        <f t="shared" si="3"/>
        <v>William Gonzalez</v>
      </c>
      <c r="N91" s="22" t="str">
        <f>_xlfn.XLOOKUP(O91,Lookup_Departments!$A$2:$A$7,Lookup_Departments!$B$2:$B$7,"Not Found")</f>
        <v>Operations</v>
      </c>
      <c r="O91" s="4" t="str">
        <f>IFERROR(VLOOKUP(D91,Lookup_Departments!$A$2:$B$7,1,FALSE),"Invalid")</f>
        <v>OPS06</v>
      </c>
      <c r="P91" s="8">
        <f t="shared" si="4"/>
        <v>43436</v>
      </c>
      <c r="Q91" s="17">
        <f t="shared" ca="1" si="5"/>
        <v>7</v>
      </c>
      <c r="R91" s="14">
        <f>IF(F91="",AVERAGEIF($D$2:$D$151,D91,$F$2:$F$151),F91)</f>
        <v>68683</v>
      </c>
      <c r="S91" s="17">
        <f>IF(G91="",AVERAGE($G$2:$G$158),G91)</f>
        <v>34</v>
      </c>
      <c r="T91" s="6" t="str">
        <f>_xlfn.XLOOKUP(S91,Lookup_Performance!$A$2:$A$6,Lookup_Performance!$C$2:$C$6,"Not Found",-1)</f>
        <v>Needs Improvement</v>
      </c>
      <c r="U91" s="24">
        <f>_xlfn.XLOOKUP(S91,Lookup_Performance!$A$2:$A$6,Lookup_Performance!$D$2:$D$6,"Not Found",-1)</f>
        <v>0</v>
      </c>
      <c r="V91" s="6" t="str">
        <f>TRIM(CLEAN(UPPER(H91)))</f>
        <v>ACTIVE</v>
      </c>
    </row>
    <row r="92" spans="1:22" x14ac:dyDescent="0.35">
      <c r="A92" s="4" t="s">
        <v>171</v>
      </c>
      <c r="B92" s="6" t="s">
        <v>28</v>
      </c>
      <c r="C92" s="6" t="s">
        <v>58</v>
      </c>
      <c r="D92" s="6" t="s">
        <v>26</v>
      </c>
      <c r="E92" s="8">
        <v>43639</v>
      </c>
      <c r="F92" s="10">
        <v>83932</v>
      </c>
      <c r="G92">
        <v>93</v>
      </c>
      <c r="H92" t="s">
        <v>44</v>
      </c>
      <c r="J92" s="4" t="str">
        <f>TRIM(CLEAN(A92))</f>
        <v>EMP054</v>
      </c>
      <c r="K92" s="6" t="str">
        <f>TRIM(CLEAN(PROPER(B92)))</f>
        <v>Thomas</v>
      </c>
      <c r="L92" s="6" t="str">
        <f>TRIM(CLEAN(PROPER(C92)))</f>
        <v>Jones</v>
      </c>
      <c r="M92" s="22" t="str">
        <f t="shared" si="3"/>
        <v>Thomas Jones</v>
      </c>
      <c r="N92" s="22" t="str">
        <f>_xlfn.XLOOKUP(O92,Lookup_Departments!$A$2:$A$7,Lookup_Departments!$B$2:$B$7,"Not Found")</f>
        <v>Finance</v>
      </c>
      <c r="O92" s="4" t="str">
        <f>IFERROR(VLOOKUP(D92,Lookup_Departments!$A$2:$B$7,1,FALSE),"Invalid")</f>
        <v>FIN03</v>
      </c>
      <c r="P92" s="8">
        <f t="shared" si="4"/>
        <v>43639</v>
      </c>
      <c r="Q92" s="17">
        <f t="shared" ca="1" si="5"/>
        <v>7</v>
      </c>
      <c r="R92" s="14">
        <f>IF(F92="",AVERAGEIF($D$2:$D$151,D92,$F$2:$F$151),F92)</f>
        <v>83932</v>
      </c>
      <c r="S92" s="17">
        <f>IF(G92="",AVERAGE($G$2:$G$158),G92)</f>
        <v>93</v>
      </c>
      <c r="T92" s="6" t="str">
        <f>_xlfn.XLOOKUP(S92,Lookup_Performance!$A$2:$A$6,Lookup_Performance!$C$2:$C$6,"Not Found",-1)</f>
        <v>Exceeding</v>
      </c>
      <c r="U92" s="24">
        <f>_xlfn.XLOOKUP(S92,Lookup_Performance!$A$2:$A$6,Lookup_Performance!$D$2:$D$6,"Not Found",-1)</f>
        <v>0.08</v>
      </c>
      <c r="V92" s="6" t="str">
        <f>TRIM(CLEAN(UPPER(H92)))</f>
        <v>ACTIVE</v>
      </c>
    </row>
    <row r="93" spans="1:22" x14ac:dyDescent="0.35">
      <c r="A93" s="4" t="s">
        <v>172</v>
      </c>
      <c r="B93" s="6" t="s">
        <v>38</v>
      </c>
      <c r="C93" s="6" t="s">
        <v>124</v>
      </c>
      <c r="D93" s="6" t="s">
        <v>92</v>
      </c>
      <c r="E93" s="8">
        <v>42304</v>
      </c>
      <c r="F93" s="10">
        <v>56073</v>
      </c>
      <c r="G93">
        <v>48</v>
      </c>
      <c r="H93" t="s">
        <v>44</v>
      </c>
      <c r="J93" s="4" t="str">
        <f>TRIM(CLEAN(A93))</f>
        <v>EMP006</v>
      </c>
      <c r="K93" s="6" t="str">
        <f>TRIM(CLEAN(PROPER(B93)))</f>
        <v>Jessica</v>
      </c>
      <c r="L93" s="6" t="str">
        <f>TRIM(CLEAN(PROPER(C93)))</f>
        <v>Anderson</v>
      </c>
      <c r="M93" s="22" t="str">
        <f t="shared" si="3"/>
        <v>Jessica Anderson</v>
      </c>
      <c r="N93" s="22" t="str">
        <f>_xlfn.XLOOKUP(O93,Lookup_Departments!$A$2:$A$7,Lookup_Departments!$B$2:$B$7,"Not Found")</f>
        <v>Human Resources</v>
      </c>
      <c r="O93" s="4" t="str">
        <f>IFERROR(VLOOKUP(D93,Lookup_Departments!$A$2:$B$7,1,FALSE),"Invalid")</f>
        <v>HR01</v>
      </c>
      <c r="P93" s="8">
        <f t="shared" si="4"/>
        <v>42304</v>
      </c>
      <c r="Q93" s="17">
        <f t="shared" ca="1" si="5"/>
        <v>10</v>
      </c>
      <c r="R93" s="14">
        <f>IF(F93="",AVERAGEIF($D$2:$D$151,D93,$F$2:$F$151),F93)</f>
        <v>56073</v>
      </c>
      <c r="S93" s="17">
        <f>IF(G93="",AVERAGE($G$2:$G$158),G93)</f>
        <v>48</v>
      </c>
      <c r="T93" s="6" t="str">
        <f>_xlfn.XLOOKUP(S93,Lookup_Performance!$A$2:$A$6,Lookup_Performance!$C$2:$C$6,"Not Found",-1)</f>
        <v>Needs Improvement</v>
      </c>
      <c r="U93" s="24">
        <f>_xlfn.XLOOKUP(S93,Lookup_Performance!$A$2:$A$6,Lookup_Performance!$D$2:$D$6,"Not Found",-1)</f>
        <v>0</v>
      </c>
      <c r="V93" s="6" t="str">
        <f>TRIM(CLEAN(UPPER(H93)))</f>
        <v>ACTIVE</v>
      </c>
    </row>
    <row r="94" spans="1:22" x14ac:dyDescent="0.35">
      <c r="A94" s="4" t="s">
        <v>173</v>
      </c>
      <c r="B94" s="6" t="s">
        <v>97</v>
      </c>
      <c r="C94" s="6" t="s">
        <v>32</v>
      </c>
      <c r="D94" s="6" t="s">
        <v>11</v>
      </c>
      <c r="E94" s="8">
        <v>43270</v>
      </c>
      <c r="F94" s="10">
        <v>88056</v>
      </c>
      <c r="G94">
        <v>90</v>
      </c>
      <c r="H94" t="s">
        <v>265</v>
      </c>
      <c r="J94" s="4" t="str">
        <f>TRIM(CLEAN(A94))</f>
        <v>EMP110</v>
      </c>
      <c r="K94" s="6" t="str">
        <f>TRIM(CLEAN(PROPER(B94)))</f>
        <v>Melissa</v>
      </c>
      <c r="L94" s="6" t="str">
        <f>TRIM(CLEAN(PROPER(C94)))</f>
        <v>Johnson</v>
      </c>
      <c r="M94" s="22" t="str">
        <f t="shared" si="3"/>
        <v>Melissa Johnson</v>
      </c>
      <c r="N94" s="22" t="str">
        <f>_xlfn.XLOOKUP(O94,Lookup_Departments!$A$2:$A$7,Lookup_Departments!$B$2:$B$7,"Not Found")</f>
        <v>Information Technology</v>
      </c>
      <c r="O94" s="4" t="str">
        <f>IFERROR(VLOOKUP(D94,Lookup_Departments!$A$2:$B$7,1,FALSE),"Invalid")</f>
        <v>IT02</v>
      </c>
      <c r="P94" s="8">
        <f t="shared" si="4"/>
        <v>43270</v>
      </c>
      <c r="Q94" s="17">
        <f t="shared" ca="1" si="5"/>
        <v>8</v>
      </c>
      <c r="R94" s="14">
        <f>IF(F94="",AVERAGEIF($D$2:$D$151,D94,$F$2:$F$151),F94)</f>
        <v>88056</v>
      </c>
      <c r="S94" s="17">
        <f>IF(G94="",AVERAGE($G$2:$G$158),G94)</f>
        <v>90</v>
      </c>
      <c r="T94" s="6" t="str">
        <f>_xlfn.XLOOKUP(S94,Lookup_Performance!$A$2:$A$6,Lookup_Performance!$C$2:$C$6,"Not Found",-1)</f>
        <v>Exceeding</v>
      </c>
      <c r="U94" s="24">
        <f>_xlfn.XLOOKUP(S94,Lookup_Performance!$A$2:$A$6,Lookup_Performance!$D$2:$D$6,"Not Found",-1)</f>
        <v>0.08</v>
      </c>
      <c r="V94" s="6" t="str">
        <f>TRIM(CLEAN(UPPER(H94)))</f>
        <v>ACTIVE</v>
      </c>
    </row>
    <row r="95" spans="1:22" x14ac:dyDescent="0.35">
      <c r="A95" s="4" t="s">
        <v>175</v>
      </c>
      <c r="B95" s="6" t="s">
        <v>28</v>
      </c>
      <c r="C95" s="6" t="s">
        <v>46</v>
      </c>
      <c r="D95" s="6" t="s">
        <v>33</v>
      </c>
      <c r="E95" s="8">
        <v>43112</v>
      </c>
      <c r="F95" s="10">
        <v>67414</v>
      </c>
      <c r="G95">
        <v>57</v>
      </c>
      <c r="H95" t="s">
        <v>22</v>
      </c>
      <c r="J95" s="4" t="str">
        <f>TRIM(CLEAN(A95))</f>
        <v>EMP147</v>
      </c>
      <c r="K95" s="6" t="str">
        <f>TRIM(CLEAN(PROPER(B95)))</f>
        <v>Thomas</v>
      </c>
      <c r="L95" s="6" t="str">
        <f>TRIM(CLEAN(PROPER(C95)))</f>
        <v>Miller</v>
      </c>
      <c r="M95" s="22" t="str">
        <f t="shared" si="3"/>
        <v>Thomas Miller</v>
      </c>
      <c r="N95" s="22" t="str">
        <f>_xlfn.XLOOKUP(O95,Lookup_Departments!$A$2:$A$7,Lookup_Departments!$B$2:$B$7,"Not Found")</f>
        <v>Operations</v>
      </c>
      <c r="O95" s="4" t="str">
        <f>IFERROR(VLOOKUP(D95,Lookup_Departments!$A$2:$B$7,1,FALSE),"Invalid")</f>
        <v>OPS06</v>
      </c>
      <c r="P95" s="8">
        <f t="shared" si="4"/>
        <v>43112</v>
      </c>
      <c r="Q95" s="17">
        <f t="shared" ca="1" si="5"/>
        <v>8</v>
      </c>
      <c r="R95" s="14">
        <f>IF(F95="",AVERAGEIF($D$2:$D$151,D95,$F$2:$F$151),F95)</f>
        <v>67414</v>
      </c>
      <c r="S95" s="17">
        <f>IF(G95="",AVERAGE($G$2:$G$158),G95)</f>
        <v>57</v>
      </c>
      <c r="T95" s="6" t="str">
        <f>_xlfn.XLOOKUP(S95,Lookup_Performance!$A$2:$A$6,Lookup_Performance!$C$2:$C$6,"Not Found",-1)</f>
        <v>Developing</v>
      </c>
      <c r="U95" s="24">
        <f>_xlfn.XLOOKUP(S95,Lookup_Performance!$A$2:$A$6,Lookup_Performance!$D$2:$D$6,"Not Found",-1)</f>
        <v>0.02</v>
      </c>
      <c r="V95" s="6" t="str">
        <f>TRIM(CLEAN(UPPER(H95)))</f>
        <v>LEFT</v>
      </c>
    </row>
    <row r="96" spans="1:22" x14ac:dyDescent="0.35">
      <c r="A96" s="4" t="s">
        <v>176</v>
      </c>
      <c r="B96" s="6" t="s">
        <v>145</v>
      </c>
      <c r="C96" s="6" t="s">
        <v>19</v>
      </c>
      <c r="D96" s="6" t="s">
        <v>43</v>
      </c>
      <c r="E96" s="8">
        <v>42008</v>
      </c>
      <c r="F96" s="10">
        <v>115288</v>
      </c>
      <c r="G96">
        <v>79</v>
      </c>
      <c r="H96" t="s">
        <v>44</v>
      </c>
      <c r="J96" s="4" t="str">
        <f>TRIM(CLEAN(A96))</f>
        <v>EMP050</v>
      </c>
      <c r="K96" s="6" t="str">
        <f>TRIM(CLEAN(PROPER(B96)))</f>
        <v>William</v>
      </c>
      <c r="L96" s="6" t="str">
        <f>TRIM(CLEAN(PROPER(C96)))</f>
        <v>Gonzalez</v>
      </c>
      <c r="M96" s="22" t="str">
        <f t="shared" si="3"/>
        <v>William Gonzalez</v>
      </c>
      <c r="N96" s="22" t="str">
        <f>_xlfn.XLOOKUP(O96,Lookup_Departments!$A$2:$A$7,Lookup_Departments!$B$2:$B$7,"Not Found")</f>
        <v>Sales</v>
      </c>
      <c r="O96" s="4" t="str">
        <f>IFERROR(VLOOKUP(D96,Lookup_Departments!$A$2:$B$7,1,FALSE),"Invalid")</f>
        <v>SAL05</v>
      </c>
      <c r="P96" s="8">
        <f t="shared" si="4"/>
        <v>42008</v>
      </c>
      <c r="Q96" s="17">
        <f t="shared" ca="1" si="5"/>
        <v>11</v>
      </c>
      <c r="R96" s="14">
        <f>IF(F96="",AVERAGEIF($D$2:$D$151,D96,$F$2:$F$151),F96)</f>
        <v>115288</v>
      </c>
      <c r="S96" s="17">
        <f>IF(G96="",AVERAGE($G$2:$G$158),G96)</f>
        <v>79</v>
      </c>
      <c r="T96" s="6" t="str">
        <f>_xlfn.XLOOKUP(S96,Lookup_Performance!$A$2:$A$6,Lookup_Performance!$C$2:$C$6,"Not Found",-1)</f>
        <v>Achieving</v>
      </c>
      <c r="U96" s="24">
        <f>_xlfn.XLOOKUP(S96,Lookup_Performance!$A$2:$A$6,Lookup_Performance!$D$2:$D$6,"Not Found",-1)</f>
        <v>0.05</v>
      </c>
      <c r="V96" s="6" t="str">
        <f>TRIM(CLEAN(UPPER(H96)))</f>
        <v>ACTIVE</v>
      </c>
    </row>
    <row r="97" spans="1:22" x14ac:dyDescent="0.35">
      <c r="A97" s="4" t="s">
        <v>178</v>
      </c>
      <c r="B97" s="6" t="s">
        <v>268</v>
      </c>
      <c r="C97" s="6" t="s">
        <v>29</v>
      </c>
      <c r="D97" s="6" t="s">
        <v>43</v>
      </c>
      <c r="E97" s="8">
        <v>43439</v>
      </c>
      <c r="F97" s="10">
        <v>80140</v>
      </c>
      <c r="G97">
        <v>66</v>
      </c>
      <c r="H97" t="s">
        <v>265</v>
      </c>
      <c r="J97" s="4" t="str">
        <f>TRIM(CLEAN(A97))</f>
        <v>EMP036</v>
      </c>
      <c r="K97" s="6" t="str">
        <f>TRIM(CLEAN(PROPER(B97)))</f>
        <v>Unknown</v>
      </c>
      <c r="L97" s="6" t="str">
        <f>TRIM(CLEAN(PROPER(C97)))</f>
        <v>Smith</v>
      </c>
      <c r="M97" s="22" t="str">
        <f t="shared" si="3"/>
        <v>Unknown Smith</v>
      </c>
      <c r="N97" s="22" t="str">
        <f>_xlfn.XLOOKUP(O97,Lookup_Departments!$A$2:$A$7,Lookup_Departments!$B$2:$B$7,"Not Found")</f>
        <v>Sales</v>
      </c>
      <c r="O97" s="4" t="str">
        <f>IFERROR(VLOOKUP(D97,Lookup_Departments!$A$2:$B$7,1,FALSE),"Invalid")</f>
        <v>SAL05</v>
      </c>
      <c r="P97" s="8">
        <f t="shared" si="4"/>
        <v>43439</v>
      </c>
      <c r="Q97" s="17">
        <f t="shared" ca="1" si="5"/>
        <v>7</v>
      </c>
      <c r="R97" s="14">
        <f>IF(F97="",AVERAGEIF($D$2:$D$151,D97,$F$2:$F$151),F97)</f>
        <v>80140</v>
      </c>
      <c r="S97" s="17">
        <f>IF(G97="",AVERAGE($G$2:$G$158),G97)</f>
        <v>66</v>
      </c>
      <c r="T97" s="6" t="str">
        <f>_xlfn.XLOOKUP(S97,Lookup_Performance!$A$2:$A$6,Lookup_Performance!$C$2:$C$6,"Not Found",-1)</f>
        <v>Developing</v>
      </c>
      <c r="U97" s="24">
        <f>_xlfn.XLOOKUP(S97,Lookup_Performance!$A$2:$A$6,Lookup_Performance!$D$2:$D$6,"Not Found",-1)</f>
        <v>0.02</v>
      </c>
      <c r="V97" s="6" t="str">
        <f>TRIM(CLEAN(UPPER(H97)))</f>
        <v>ACTIVE</v>
      </c>
    </row>
    <row r="98" spans="1:22" x14ac:dyDescent="0.35">
      <c r="A98" s="4" t="s">
        <v>179</v>
      </c>
      <c r="B98" s="6" t="s">
        <v>24</v>
      </c>
      <c r="C98" s="6" t="s">
        <v>32</v>
      </c>
      <c r="D98" s="6" t="s">
        <v>11</v>
      </c>
      <c r="E98" s="8">
        <v>44482</v>
      </c>
      <c r="F98" s="10">
        <v>73087</v>
      </c>
      <c r="G98">
        <v>84</v>
      </c>
      <c r="H98" t="s">
        <v>30</v>
      </c>
      <c r="J98" s="4" t="str">
        <f>TRIM(CLEAN(A98))</f>
        <v>EMP081</v>
      </c>
      <c r="K98" s="6" t="str">
        <f>TRIM(CLEAN(PROPER(B98)))</f>
        <v>John</v>
      </c>
      <c r="L98" s="6" t="str">
        <f>TRIM(CLEAN(PROPER(C98)))</f>
        <v>Johnson</v>
      </c>
      <c r="M98" s="22" t="str">
        <f t="shared" si="3"/>
        <v>John Johnson</v>
      </c>
      <c r="N98" s="22" t="str">
        <f>_xlfn.XLOOKUP(O98,Lookup_Departments!$A$2:$A$7,Lookup_Departments!$B$2:$B$7,"Not Found")</f>
        <v>Information Technology</v>
      </c>
      <c r="O98" s="4" t="str">
        <f>IFERROR(VLOOKUP(D98,Lookup_Departments!$A$2:$B$7,1,FALSE),"Invalid")</f>
        <v>IT02</v>
      </c>
      <c r="P98" s="8">
        <f t="shared" si="4"/>
        <v>44482</v>
      </c>
      <c r="Q98" s="17">
        <f t="shared" ca="1" si="5"/>
        <v>4</v>
      </c>
      <c r="R98" s="14">
        <f>IF(F98="",AVERAGEIF($D$2:$D$151,D98,$F$2:$F$151),F98)</f>
        <v>73087</v>
      </c>
      <c r="S98" s="17">
        <f>IF(G98="",AVERAGE($G$2:$G$158),G98)</f>
        <v>84</v>
      </c>
      <c r="T98" s="6" t="str">
        <f>_xlfn.XLOOKUP(S98,Lookup_Performance!$A$2:$A$6,Lookup_Performance!$C$2:$C$6,"Not Found",-1)</f>
        <v>Achieving</v>
      </c>
      <c r="U98" s="24">
        <f>_xlfn.XLOOKUP(S98,Lookup_Performance!$A$2:$A$6,Lookup_Performance!$D$2:$D$6,"Not Found",-1)</f>
        <v>0.05</v>
      </c>
      <c r="V98" s="6" t="str">
        <f>TRIM(CLEAN(UPPER(H98)))</f>
        <v>LEFT</v>
      </c>
    </row>
    <row r="99" spans="1:22" x14ac:dyDescent="0.35">
      <c r="A99" s="4" t="s">
        <v>180</v>
      </c>
      <c r="B99" s="6" t="s">
        <v>52</v>
      </c>
      <c r="C99" s="6" t="s">
        <v>32</v>
      </c>
      <c r="D99" s="6" t="s">
        <v>43</v>
      </c>
      <c r="E99" s="8">
        <v>44081</v>
      </c>
      <c r="F99" s="10">
        <v>95292</v>
      </c>
      <c r="G99">
        <v>61</v>
      </c>
      <c r="H99" t="s">
        <v>265</v>
      </c>
      <c r="J99" s="4" t="str">
        <f>TRIM(CLEAN(A99))</f>
        <v>EMP078</v>
      </c>
      <c r="K99" s="6" t="str">
        <f>TRIM(CLEAN(PROPER(B99)))</f>
        <v>Jane</v>
      </c>
      <c r="L99" s="6" t="str">
        <f>TRIM(CLEAN(PROPER(C99)))</f>
        <v>Johnson</v>
      </c>
      <c r="M99" s="22" t="str">
        <f t="shared" si="3"/>
        <v>Jane Johnson</v>
      </c>
      <c r="N99" s="22" t="str">
        <f>_xlfn.XLOOKUP(O99,Lookup_Departments!$A$2:$A$7,Lookup_Departments!$B$2:$B$7,"Not Found")</f>
        <v>Sales</v>
      </c>
      <c r="O99" s="4" t="str">
        <f>IFERROR(VLOOKUP(D99,Lookup_Departments!$A$2:$B$7,1,FALSE),"Invalid")</f>
        <v>SAL05</v>
      </c>
      <c r="P99" s="8">
        <f t="shared" si="4"/>
        <v>44081</v>
      </c>
      <c r="Q99" s="17">
        <f t="shared" ca="1" si="5"/>
        <v>5</v>
      </c>
      <c r="R99" s="14">
        <f>IF(F99="",AVERAGEIF($D$2:$D$151,D99,$F$2:$F$151),F99)</f>
        <v>95292</v>
      </c>
      <c r="S99" s="17">
        <f>IF(G99="",AVERAGE($G$2:$G$158),G99)</f>
        <v>61</v>
      </c>
      <c r="T99" s="6" t="str">
        <f>_xlfn.XLOOKUP(S99,Lookup_Performance!$A$2:$A$6,Lookup_Performance!$C$2:$C$6,"Not Found",-1)</f>
        <v>Developing</v>
      </c>
      <c r="U99" s="24">
        <f>_xlfn.XLOOKUP(S99,Lookup_Performance!$A$2:$A$6,Lookup_Performance!$D$2:$D$6,"Not Found",-1)</f>
        <v>0.02</v>
      </c>
      <c r="V99" s="6" t="str">
        <f>TRIM(CLEAN(UPPER(H99)))</f>
        <v>ACTIVE</v>
      </c>
    </row>
    <row r="100" spans="1:22" x14ac:dyDescent="0.35">
      <c r="A100" s="4" t="s">
        <v>181</v>
      </c>
      <c r="B100" s="6" t="s">
        <v>24</v>
      </c>
      <c r="C100" s="6" t="s">
        <v>58</v>
      </c>
      <c r="D100" s="6" t="s">
        <v>11</v>
      </c>
      <c r="E100" s="8">
        <v>43680</v>
      </c>
      <c r="G100">
        <v>58</v>
      </c>
      <c r="H100" t="s">
        <v>44</v>
      </c>
      <c r="J100" s="4" t="str">
        <f>TRIM(CLEAN(A100))</f>
        <v>EMP035</v>
      </c>
      <c r="K100" s="6" t="str">
        <f>TRIM(CLEAN(PROPER(B100)))</f>
        <v>John</v>
      </c>
      <c r="L100" s="6" t="str">
        <f>TRIM(CLEAN(PROPER(C100)))</f>
        <v>Jones</v>
      </c>
      <c r="M100" s="22" t="str">
        <f t="shared" si="3"/>
        <v>John Jones</v>
      </c>
      <c r="N100" s="22" t="str">
        <f>_xlfn.XLOOKUP(O100,Lookup_Departments!$A$2:$A$7,Lookup_Departments!$B$2:$B$7,"Not Found")</f>
        <v>Information Technology</v>
      </c>
      <c r="O100" s="4" t="str">
        <f>IFERROR(VLOOKUP(D100,Lookup_Departments!$A$2:$B$7,1,FALSE),"Invalid")</f>
        <v>IT02</v>
      </c>
      <c r="P100" s="8">
        <f t="shared" si="4"/>
        <v>43680</v>
      </c>
      <c r="Q100" s="17">
        <f t="shared" ca="1" si="5"/>
        <v>6</v>
      </c>
      <c r="R100" s="14">
        <f>IF(F100="",AVERAGEIF($D$2:$D$151,D100,$F$2:$F$151),F100)</f>
        <v>80014.258064516136</v>
      </c>
      <c r="S100" s="17">
        <f>IF(G100="",AVERAGE($G$2:$G$158),G100)</f>
        <v>58</v>
      </c>
      <c r="T100" s="6" t="str">
        <f>_xlfn.XLOOKUP(S100,Lookup_Performance!$A$2:$A$6,Lookup_Performance!$C$2:$C$6,"Not Found",-1)</f>
        <v>Developing</v>
      </c>
      <c r="U100" s="24">
        <f>_xlfn.XLOOKUP(S100,Lookup_Performance!$A$2:$A$6,Lookup_Performance!$D$2:$D$6,"Not Found",-1)</f>
        <v>0.02</v>
      </c>
      <c r="V100" s="6" t="str">
        <f>TRIM(CLEAN(UPPER(H100)))</f>
        <v>ACTIVE</v>
      </c>
    </row>
    <row r="101" spans="1:22" x14ac:dyDescent="0.35">
      <c r="A101" s="4" t="s">
        <v>182</v>
      </c>
      <c r="B101" s="6" t="s">
        <v>52</v>
      </c>
      <c r="C101" s="6" t="s">
        <v>67</v>
      </c>
      <c r="D101" s="6" t="s">
        <v>16</v>
      </c>
      <c r="E101" s="8">
        <v>42074</v>
      </c>
      <c r="F101" s="10">
        <v>101750</v>
      </c>
      <c r="G101">
        <v>69</v>
      </c>
      <c r="H101" t="s">
        <v>265</v>
      </c>
      <c r="J101" s="4" t="str">
        <f>TRIM(CLEAN(A101))</f>
        <v>EMP047</v>
      </c>
      <c r="K101" s="6" t="str">
        <f>TRIM(CLEAN(PROPER(B101)))</f>
        <v>Jane</v>
      </c>
      <c r="L101" s="6" t="str">
        <f>TRIM(CLEAN(PROPER(C101)))</f>
        <v>Lopez</v>
      </c>
      <c r="M101" s="22" t="str">
        <f t="shared" si="3"/>
        <v>Jane Lopez</v>
      </c>
      <c r="N101" s="22" t="str">
        <f>_xlfn.XLOOKUP(O101,Lookup_Departments!$A$2:$A$7,Lookup_Departments!$B$2:$B$7,"Not Found")</f>
        <v>Marketing</v>
      </c>
      <c r="O101" s="4" t="str">
        <f>IFERROR(VLOOKUP(D101,Lookup_Departments!$A$2:$B$7,1,FALSE),"Invalid")</f>
        <v>MKT04</v>
      </c>
      <c r="P101" s="8">
        <f t="shared" si="4"/>
        <v>42074</v>
      </c>
      <c r="Q101" s="17">
        <f t="shared" ca="1" si="5"/>
        <v>11</v>
      </c>
      <c r="R101" s="14">
        <f>IF(F101="",AVERAGEIF($D$2:$D$151,D101,$F$2:$F$151),F101)</f>
        <v>101750</v>
      </c>
      <c r="S101" s="17">
        <f>IF(G101="",AVERAGE($G$2:$G$158),G101)</f>
        <v>69</v>
      </c>
      <c r="T101" s="6" t="str">
        <f>_xlfn.XLOOKUP(S101,Lookup_Performance!$A$2:$A$6,Lookup_Performance!$C$2:$C$6,"Not Found",-1)</f>
        <v>Developing</v>
      </c>
      <c r="U101" s="24">
        <f>_xlfn.XLOOKUP(S101,Lookup_Performance!$A$2:$A$6,Lookup_Performance!$D$2:$D$6,"Not Found",-1)</f>
        <v>0.02</v>
      </c>
      <c r="V101" s="6" t="str">
        <f>TRIM(CLEAN(UPPER(H101)))</f>
        <v>ACTIVE</v>
      </c>
    </row>
    <row r="102" spans="1:22" x14ac:dyDescent="0.35">
      <c r="A102" s="4" t="s">
        <v>183</v>
      </c>
      <c r="B102" s="6" t="s">
        <v>97</v>
      </c>
      <c r="C102" s="6" t="s">
        <v>19</v>
      </c>
      <c r="D102" s="6" t="s">
        <v>16</v>
      </c>
      <c r="E102" s="8">
        <v>42785</v>
      </c>
      <c r="F102" s="10">
        <v>82992</v>
      </c>
      <c r="G102">
        <v>34</v>
      </c>
      <c r="H102" t="s">
        <v>12</v>
      </c>
      <c r="J102" s="4" t="str">
        <f>TRIM(CLEAN(A102))</f>
        <v>EMP008</v>
      </c>
      <c r="K102" s="6" t="str">
        <f>TRIM(CLEAN(PROPER(B102)))</f>
        <v>Melissa</v>
      </c>
      <c r="L102" s="6" t="str">
        <f>TRIM(CLEAN(PROPER(C102)))</f>
        <v>Gonzalez</v>
      </c>
      <c r="M102" s="22" t="str">
        <f t="shared" si="3"/>
        <v>Melissa Gonzalez</v>
      </c>
      <c r="N102" s="22" t="str">
        <f>_xlfn.XLOOKUP(O102,Lookup_Departments!$A$2:$A$7,Lookup_Departments!$B$2:$B$7,"Not Found")</f>
        <v>Marketing</v>
      </c>
      <c r="O102" s="4" t="str">
        <f>IFERROR(VLOOKUP(D102,Lookup_Departments!$A$2:$B$7,1,FALSE),"Invalid")</f>
        <v>MKT04</v>
      </c>
      <c r="P102" s="8">
        <f t="shared" si="4"/>
        <v>42785</v>
      </c>
      <c r="Q102" s="17">
        <f t="shared" ca="1" si="5"/>
        <v>9</v>
      </c>
      <c r="R102" s="14">
        <f>IF(F102="",AVERAGEIF($D$2:$D$151,D102,$F$2:$F$151),F102)</f>
        <v>82992</v>
      </c>
      <c r="S102" s="17">
        <f>IF(G102="",AVERAGE($G$2:$G$158),G102)</f>
        <v>34</v>
      </c>
      <c r="T102" s="6" t="str">
        <f>_xlfn.XLOOKUP(S102,Lookup_Performance!$A$2:$A$6,Lookup_Performance!$C$2:$C$6,"Not Found",-1)</f>
        <v>Needs Improvement</v>
      </c>
      <c r="U102" s="24">
        <f>_xlfn.XLOOKUP(S102,Lookup_Performance!$A$2:$A$6,Lookup_Performance!$D$2:$D$6,"Not Found",-1)</f>
        <v>0</v>
      </c>
      <c r="V102" s="6" t="str">
        <f>TRIM(CLEAN(UPPER(H102)))</f>
        <v>ACTIVE</v>
      </c>
    </row>
    <row r="103" spans="1:22" x14ac:dyDescent="0.35">
      <c r="A103" s="4" t="s">
        <v>184</v>
      </c>
      <c r="B103" s="6" t="s">
        <v>145</v>
      </c>
      <c r="C103" s="6" t="s">
        <v>62</v>
      </c>
      <c r="D103" s="6" t="s">
        <v>11</v>
      </c>
      <c r="E103" s="8">
        <v>45055</v>
      </c>
      <c r="F103" s="10">
        <v>49942</v>
      </c>
      <c r="G103">
        <v>33</v>
      </c>
      <c r="H103" t="s">
        <v>12</v>
      </c>
      <c r="J103" s="4" t="str">
        <f>TRIM(CLEAN(A103))</f>
        <v>EMP044</v>
      </c>
      <c r="K103" s="6" t="str">
        <f>TRIM(CLEAN(PROPER(B103)))</f>
        <v>William</v>
      </c>
      <c r="L103" s="6" t="str">
        <f>TRIM(CLEAN(PROPER(C103)))</f>
        <v>Davis</v>
      </c>
      <c r="M103" s="22" t="str">
        <f t="shared" si="3"/>
        <v>William Davis</v>
      </c>
      <c r="N103" s="22" t="str">
        <f>_xlfn.XLOOKUP(O103,Lookup_Departments!$A$2:$A$7,Lookup_Departments!$B$2:$B$7,"Not Found")</f>
        <v>Information Technology</v>
      </c>
      <c r="O103" s="4" t="str">
        <f>IFERROR(VLOOKUP(D103,Lookup_Departments!$A$2:$B$7,1,FALSE),"Invalid")</f>
        <v>IT02</v>
      </c>
      <c r="P103" s="8">
        <f t="shared" si="4"/>
        <v>45055</v>
      </c>
      <c r="Q103" s="17">
        <f t="shared" ca="1" si="5"/>
        <v>3</v>
      </c>
      <c r="R103" s="14">
        <f>IF(F103="",AVERAGEIF($D$2:$D$151,D103,$F$2:$F$151),F103)</f>
        <v>49942</v>
      </c>
      <c r="S103" s="17">
        <f>IF(G103="",AVERAGE($G$2:$G$158),G103)</f>
        <v>33</v>
      </c>
      <c r="T103" s="6" t="str">
        <f>_xlfn.XLOOKUP(S103,Lookup_Performance!$A$2:$A$6,Lookup_Performance!$C$2:$C$6,"Not Found",-1)</f>
        <v>Needs Improvement</v>
      </c>
      <c r="U103" s="24">
        <f>_xlfn.XLOOKUP(S103,Lookup_Performance!$A$2:$A$6,Lookup_Performance!$D$2:$D$6,"Not Found",-1)</f>
        <v>0</v>
      </c>
      <c r="V103" s="6" t="str">
        <f>TRIM(CLEAN(UPPER(H103)))</f>
        <v>ACTIVE</v>
      </c>
    </row>
    <row r="104" spans="1:22" x14ac:dyDescent="0.35">
      <c r="A104" s="4" t="s">
        <v>186</v>
      </c>
      <c r="B104" s="6" t="s">
        <v>24</v>
      </c>
      <c r="C104" s="6" t="s">
        <v>29</v>
      </c>
      <c r="D104" s="6" t="s">
        <v>33</v>
      </c>
      <c r="E104" s="8">
        <v>43122</v>
      </c>
      <c r="F104" s="10">
        <v>89060</v>
      </c>
      <c r="G104">
        <v>84</v>
      </c>
      <c r="H104" t="s">
        <v>100</v>
      </c>
      <c r="J104" s="4" t="str">
        <f>TRIM(CLEAN(A104))</f>
        <v>EMP071</v>
      </c>
      <c r="K104" s="6" t="str">
        <f>TRIM(CLEAN(PROPER(B104)))</f>
        <v>John</v>
      </c>
      <c r="L104" s="6" t="str">
        <f>TRIM(CLEAN(PROPER(C104)))</f>
        <v>Smith</v>
      </c>
      <c r="M104" s="22" t="str">
        <f t="shared" si="3"/>
        <v>John Smith</v>
      </c>
      <c r="N104" s="22" t="str">
        <f>_xlfn.XLOOKUP(O104,Lookup_Departments!$A$2:$A$7,Lookup_Departments!$B$2:$B$7,"Not Found")</f>
        <v>Operations</v>
      </c>
      <c r="O104" s="4" t="str">
        <f>IFERROR(VLOOKUP(D104,Lookup_Departments!$A$2:$B$7,1,FALSE),"Invalid")</f>
        <v>OPS06</v>
      </c>
      <c r="P104" s="8">
        <f t="shared" si="4"/>
        <v>43122</v>
      </c>
      <c r="Q104" s="17">
        <f t="shared" ca="1" si="5"/>
        <v>8</v>
      </c>
      <c r="R104" s="14">
        <f>IF(F104="",AVERAGEIF($D$2:$D$151,D104,$F$2:$F$151),F104)</f>
        <v>89060</v>
      </c>
      <c r="S104" s="17">
        <f>IF(G104="",AVERAGE($G$2:$G$158),G104)</f>
        <v>84</v>
      </c>
      <c r="T104" s="6" t="str">
        <f>_xlfn.XLOOKUP(S104,Lookup_Performance!$A$2:$A$6,Lookup_Performance!$C$2:$C$6,"Not Found",-1)</f>
        <v>Achieving</v>
      </c>
      <c r="U104" s="24">
        <f>_xlfn.XLOOKUP(S104,Lookup_Performance!$A$2:$A$6,Lookup_Performance!$D$2:$D$6,"Not Found",-1)</f>
        <v>0.05</v>
      </c>
      <c r="V104" s="6" t="str">
        <f>TRIM(CLEAN(UPPER(H104)))</f>
        <v>LEFT</v>
      </c>
    </row>
    <row r="105" spans="1:22" x14ac:dyDescent="0.35">
      <c r="A105" s="4" t="s">
        <v>187</v>
      </c>
      <c r="B105" s="6" t="s">
        <v>64</v>
      </c>
      <c r="C105" s="6" t="s">
        <v>19</v>
      </c>
      <c r="D105" s="6" t="s">
        <v>11</v>
      </c>
      <c r="E105" s="8">
        <v>43879</v>
      </c>
      <c r="F105" s="10">
        <v>53786</v>
      </c>
      <c r="G105">
        <v>79</v>
      </c>
      <c r="H105" t="s">
        <v>265</v>
      </c>
      <c r="J105" s="4" t="str">
        <f>TRIM(CLEAN(A105))</f>
        <v>EMP115</v>
      </c>
      <c r="K105" s="6" t="str">
        <f>TRIM(CLEAN(PROPER(B105)))</f>
        <v>James</v>
      </c>
      <c r="L105" s="6" t="str">
        <f>TRIM(CLEAN(PROPER(C105)))</f>
        <v>Gonzalez</v>
      </c>
      <c r="M105" s="22" t="str">
        <f t="shared" si="3"/>
        <v>James Gonzalez</v>
      </c>
      <c r="N105" s="22" t="str">
        <f>_xlfn.XLOOKUP(O105,Lookup_Departments!$A$2:$A$7,Lookup_Departments!$B$2:$B$7,"Not Found")</f>
        <v>Information Technology</v>
      </c>
      <c r="O105" s="4" t="str">
        <f>IFERROR(VLOOKUP(D105,Lookup_Departments!$A$2:$B$7,1,FALSE),"Invalid")</f>
        <v>IT02</v>
      </c>
      <c r="P105" s="8">
        <f t="shared" si="4"/>
        <v>43879</v>
      </c>
      <c r="Q105" s="17">
        <f t="shared" ca="1" si="5"/>
        <v>6</v>
      </c>
      <c r="R105" s="14">
        <f>IF(F105="",AVERAGEIF($D$2:$D$151,D105,$F$2:$F$151),F105)</f>
        <v>53786</v>
      </c>
      <c r="S105" s="17">
        <f>IF(G105="",AVERAGE($G$2:$G$158),G105)</f>
        <v>79</v>
      </c>
      <c r="T105" s="6" t="str">
        <f>_xlfn.XLOOKUP(S105,Lookup_Performance!$A$2:$A$6,Lookup_Performance!$C$2:$C$6,"Not Found",-1)</f>
        <v>Achieving</v>
      </c>
      <c r="U105" s="24">
        <f>_xlfn.XLOOKUP(S105,Lookup_Performance!$A$2:$A$6,Lookup_Performance!$D$2:$D$6,"Not Found",-1)</f>
        <v>0.05</v>
      </c>
      <c r="V105" s="6" t="str">
        <f>TRIM(CLEAN(UPPER(H105)))</f>
        <v>ACTIVE</v>
      </c>
    </row>
    <row r="106" spans="1:22" x14ac:dyDescent="0.35">
      <c r="A106" s="4" t="s">
        <v>188</v>
      </c>
      <c r="B106" s="6" t="s">
        <v>9</v>
      </c>
      <c r="C106" s="6" t="s">
        <v>32</v>
      </c>
      <c r="D106" s="6" t="s">
        <v>33</v>
      </c>
      <c r="E106" s="8" t="s">
        <v>189</v>
      </c>
      <c r="F106" s="10">
        <v>81167</v>
      </c>
      <c r="G106">
        <v>51</v>
      </c>
      <c r="H106" t="s">
        <v>12</v>
      </c>
      <c r="J106" s="4" t="str">
        <f>TRIM(CLEAN(A106))</f>
        <v>EMP092</v>
      </c>
      <c r="K106" s="6" t="str">
        <f>TRIM(CLEAN(PROPER(B106)))</f>
        <v>Emily</v>
      </c>
      <c r="L106" s="6" t="str">
        <f>TRIM(CLEAN(PROPER(C106)))</f>
        <v>Johnson</v>
      </c>
      <c r="M106" s="22" t="str">
        <f t="shared" si="3"/>
        <v>Emily Johnson</v>
      </c>
      <c r="N106" s="22" t="str">
        <f>_xlfn.XLOOKUP(O106,Lookup_Departments!$A$2:$A$7,Lookup_Departments!$B$2:$B$7,"Not Found")</f>
        <v>Operations</v>
      </c>
      <c r="O106" s="4" t="str">
        <f>IFERROR(VLOOKUP(D106,Lookup_Departments!$A$2:$B$7,1,FALSE),"Invalid")</f>
        <v>OPS06</v>
      </c>
      <c r="P106" s="8">
        <f t="shared" si="4"/>
        <v>42512</v>
      </c>
      <c r="Q106" s="17">
        <f t="shared" ca="1" si="5"/>
        <v>10</v>
      </c>
      <c r="R106" s="14">
        <f>IF(F106="",AVERAGEIF($D$2:$D$151,D106,$F$2:$F$151),F106)</f>
        <v>81167</v>
      </c>
      <c r="S106" s="17">
        <f>IF(G106="",AVERAGE($G$2:$G$158),G106)</f>
        <v>51</v>
      </c>
      <c r="T106" s="6" t="str">
        <f>_xlfn.XLOOKUP(S106,Lookup_Performance!$A$2:$A$6,Lookup_Performance!$C$2:$C$6,"Not Found",-1)</f>
        <v>Developing</v>
      </c>
      <c r="U106" s="24">
        <f>_xlfn.XLOOKUP(S106,Lookup_Performance!$A$2:$A$6,Lookup_Performance!$D$2:$D$6,"Not Found",-1)</f>
        <v>0.02</v>
      </c>
      <c r="V106" s="6" t="str">
        <f>TRIM(CLEAN(UPPER(H106)))</f>
        <v>ACTIVE</v>
      </c>
    </row>
    <row r="107" spans="1:22" x14ac:dyDescent="0.35">
      <c r="A107" s="4" t="s">
        <v>190</v>
      </c>
      <c r="B107" s="6" t="s">
        <v>145</v>
      </c>
      <c r="C107" s="6" t="s">
        <v>53</v>
      </c>
      <c r="D107" s="6" t="s">
        <v>16</v>
      </c>
      <c r="E107" s="8">
        <v>44349</v>
      </c>
      <c r="F107" s="10">
        <v>66688</v>
      </c>
      <c r="G107">
        <v>58</v>
      </c>
      <c r="H107" t="s">
        <v>12</v>
      </c>
      <c r="J107" s="4" t="str">
        <f>TRIM(CLEAN(A107))</f>
        <v>EMP084</v>
      </c>
      <c r="K107" s="6" t="str">
        <f>TRIM(CLEAN(PROPER(B107)))</f>
        <v>William</v>
      </c>
      <c r="L107" s="6" t="str">
        <f>TRIM(CLEAN(PROPER(C107)))</f>
        <v>Williams</v>
      </c>
      <c r="M107" s="22" t="str">
        <f t="shared" si="3"/>
        <v>William Williams</v>
      </c>
      <c r="N107" s="22" t="str">
        <f>_xlfn.XLOOKUP(O107,Lookup_Departments!$A$2:$A$7,Lookup_Departments!$B$2:$B$7,"Not Found")</f>
        <v>Marketing</v>
      </c>
      <c r="O107" s="4" t="str">
        <f>IFERROR(VLOOKUP(D107,Lookup_Departments!$A$2:$B$7,1,FALSE),"Invalid")</f>
        <v>MKT04</v>
      </c>
      <c r="P107" s="8">
        <f t="shared" si="4"/>
        <v>44349</v>
      </c>
      <c r="Q107" s="17">
        <f t="shared" ca="1" si="5"/>
        <v>5</v>
      </c>
      <c r="R107" s="14">
        <f>IF(F107="",AVERAGEIF($D$2:$D$151,D107,$F$2:$F$151),F107)</f>
        <v>66688</v>
      </c>
      <c r="S107" s="17">
        <f>IF(G107="",AVERAGE($G$2:$G$158),G107)</f>
        <v>58</v>
      </c>
      <c r="T107" s="6" t="str">
        <f>_xlfn.XLOOKUP(S107,Lookup_Performance!$A$2:$A$6,Lookup_Performance!$C$2:$C$6,"Not Found",-1)</f>
        <v>Developing</v>
      </c>
      <c r="U107" s="24">
        <f>_xlfn.XLOOKUP(S107,Lookup_Performance!$A$2:$A$6,Lookup_Performance!$D$2:$D$6,"Not Found",-1)</f>
        <v>0.02</v>
      </c>
      <c r="V107" s="6" t="str">
        <f>TRIM(CLEAN(UPPER(H107)))</f>
        <v>ACTIVE</v>
      </c>
    </row>
    <row r="108" spans="1:22" x14ac:dyDescent="0.35">
      <c r="A108" s="4" t="s">
        <v>191</v>
      </c>
      <c r="B108" s="6" t="s">
        <v>64</v>
      </c>
      <c r="C108" s="6" t="s">
        <v>58</v>
      </c>
      <c r="D108" s="6" t="s">
        <v>11</v>
      </c>
      <c r="E108" s="8">
        <v>44394</v>
      </c>
      <c r="F108" s="10">
        <v>91672</v>
      </c>
      <c r="G108">
        <v>98</v>
      </c>
      <c r="H108" t="s">
        <v>44</v>
      </c>
      <c r="J108" s="4" t="str">
        <f>TRIM(CLEAN(A108))</f>
        <v>EMP142</v>
      </c>
      <c r="K108" s="6" t="str">
        <f>TRIM(CLEAN(PROPER(B108)))</f>
        <v>James</v>
      </c>
      <c r="L108" s="6" t="str">
        <f>TRIM(CLEAN(PROPER(C108)))</f>
        <v>Jones</v>
      </c>
      <c r="M108" s="22" t="str">
        <f t="shared" si="3"/>
        <v>James Jones</v>
      </c>
      <c r="N108" s="22" t="str">
        <f>_xlfn.XLOOKUP(O108,Lookup_Departments!$A$2:$A$7,Lookup_Departments!$B$2:$B$7,"Not Found")</f>
        <v>Information Technology</v>
      </c>
      <c r="O108" s="4" t="str">
        <f>IFERROR(VLOOKUP(D108,Lookup_Departments!$A$2:$B$7,1,FALSE),"Invalid")</f>
        <v>IT02</v>
      </c>
      <c r="P108" s="8">
        <f t="shared" si="4"/>
        <v>44394</v>
      </c>
      <c r="Q108" s="17">
        <f t="shared" ca="1" si="5"/>
        <v>4</v>
      </c>
      <c r="R108" s="14">
        <f>IF(F108="",AVERAGEIF($D$2:$D$151,D108,$F$2:$F$151),F108)</f>
        <v>91672</v>
      </c>
      <c r="S108" s="17">
        <f>IF(G108="",AVERAGE($G$2:$G$158),G108)</f>
        <v>98</v>
      </c>
      <c r="T108" s="6" t="str">
        <f>_xlfn.XLOOKUP(S108,Lookup_Performance!$A$2:$A$6,Lookup_Performance!$C$2:$C$6,"Not Found",-1)</f>
        <v>Outstanding</v>
      </c>
      <c r="U108" s="24">
        <f>_xlfn.XLOOKUP(S108,Lookup_Performance!$A$2:$A$6,Lookup_Performance!$D$2:$D$6,"Not Found",-1)</f>
        <v>0.12</v>
      </c>
      <c r="V108" s="6" t="str">
        <f>TRIM(CLEAN(UPPER(H108)))</f>
        <v>ACTIVE</v>
      </c>
    </row>
    <row r="109" spans="1:22" x14ac:dyDescent="0.35">
      <c r="A109" s="4" t="s">
        <v>192</v>
      </c>
      <c r="B109" s="6" t="s">
        <v>38</v>
      </c>
      <c r="C109" s="6" t="s">
        <v>19</v>
      </c>
      <c r="D109" s="6" t="s">
        <v>92</v>
      </c>
      <c r="E109" s="8">
        <v>42687</v>
      </c>
      <c r="F109" s="10">
        <v>77737</v>
      </c>
      <c r="G109"/>
      <c r="H109" t="s">
        <v>44</v>
      </c>
      <c r="J109" s="4" t="str">
        <f>TRIM(CLEAN(A109))</f>
        <v>EMP143</v>
      </c>
      <c r="K109" s="6" t="str">
        <f>TRIM(CLEAN(PROPER(B109)))</f>
        <v>Jessica</v>
      </c>
      <c r="L109" s="6" t="str">
        <f>TRIM(CLEAN(PROPER(C109)))</f>
        <v>Gonzalez</v>
      </c>
      <c r="M109" s="22" t="str">
        <f t="shared" si="3"/>
        <v>Jessica Gonzalez</v>
      </c>
      <c r="N109" s="22" t="str">
        <f>_xlfn.XLOOKUP(O109,Lookup_Departments!$A$2:$A$7,Lookup_Departments!$B$2:$B$7,"Not Found")</f>
        <v>Human Resources</v>
      </c>
      <c r="O109" s="4" t="str">
        <f>IFERROR(VLOOKUP(D109,Lookup_Departments!$A$2:$B$7,1,FALSE),"Invalid")</f>
        <v>HR01</v>
      </c>
      <c r="P109" s="8">
        <f t="shared" si="4"/>
        <v>42687</v>
      </c>
      <c r="Q109" s="17">
        <f t="shared" ca="1" si="5"/>
        <v>9</v>
      </c>
      <c r="R109" s="14">
        <f>IF(F109="",AVERAGEIF($D$2:$D$151,D109,$F$2:$F$151),F109)</f>
        <v>77737</v>
      </c>
      <c r="S109" s="17">
        <f>IF(G109="",AVERAGE($G$2:$G$158),G109)</f>
        <v>68.219858156028366</v>
      </c>
      <c r="T109" s="6" t="str">
        <f>_xlfn.XLOOKUP(S109,Lookup_Performance!$A$2:$A$6,Lookup_Performance!$C$2:$C$6,"Not Found",-1)</f>
        <v>Developing</v>
      </c>
      <c r="U109" s="24">
        <f>_xlfn.XLOOKUP(S109,Lookup_Performance!$A$2:$A$6,Lookup_Performance!$D$2:$D$6,"Not Found",-1)</f>
        <v>0.02</v>
      </c>
      <c r="V109" s="6" t="str">
        <f>TRIM(CLEAN(UPPER(H109)))</f>
        <v>ACTIVE</v>
      </c>
    </row>
    <row r="110" spans="1:22" x14ac:dyDescent="0.35">
      <c r="A110" s="4" t="s">
        <v>194</v>
      </c>
      <c r="B110" s="6" t="s">
        <v>90</v>
      </c>
      <c r="C110" s="6" t="s">
        <v>46</v>
      </c>
      <c r="D110" s="6" t="s">
        <v>43</v>
      </c>
      <c r="E110" s="8">
        <v>43513</v>
      </c>
      <c r="F110" s="10">
        <v>95686</v>
      </c>
      <c r="G110">
        <v>40</v>
      </c>
      <c r="H110" t="s">
        <v>100</v>
      </c>
      <c r="J110" s="4" t="str">
        <f>TRIM(CLEAN(A110))</f>
        <v>EMP090</v>
      </c>
      <c r="K110" s="6" t="str">
        <f>TRIM(CLEAN(PROPER(B110)))</f>
        <v>Sarah</v>
      </c>
      <c r="L110" s="6" t="str">
        <f>TRIM(CLEAN(PROPER(C110)))</f>
        <v>Miller</v>
      </c>
      <c r="M110" s="22" t="str">
        <f t="shared" si="3"/>
        <v>Sarah Miller</v>
      </c>
      <c r="N110" s="22" t="str">
        <f>_xlfn.XLOOKUP(O110,Lookup_Departments!$A$2:$A$7,Lookup_Departments!$B$2:$B$7,"Not Found")</f>
        <v>Sales</v>
      </c>
      <c r="O110" s="4" t="str">
        <f>IFERROR(VLOOKUP(D110,Lookup_Departments!$A$2:$B$7,1,FALSE),"Invalid")</f>
        <v>SAL05</v>
      </c>
      <c r="P110" s="8">
        <f t="shared" si="4"/>
        <v>43513</v>
      </c>
      <c r="Q110" s="17">
        <f t="shared" ca="1" si="5"/>
        <v>7</v>
      </c>
      <c r="R110" s="14">
        <f>IF(F110="",AVERAGEIF($D$2:$D$151,D110,$F$2:$F$151),F110)</f>
        <v>95686</v>
      </c>
      <c r="S110" s="17">
        <f>IF(G110="",AVERAGE($G$2:$G$158),G110)</f>
        <v>40</v>
      </c>
      <c r="T110" s="6" t="str">
        <f>_xlfn.XLOOKUP(S110,Lookup_Performance!$A$2:$A$6,Lookup_Performance!$C$2:$C$6,"Not Found",-1)</f>
        <v>Needs Improvement</v>
      </c>
      <c r="U110" s="24">
        <f>_xlfn.XLOOKUP(S110,Lookup_Performance!$A$2:$A$6,Lookup_Performance!$D$2:$D$6,"Not Found",-1)</f>
        <v>0</v>
      </c>
      <c r="V110" s="6" t="str">
        <f>TRIM(CLEAN(UPPER(H110)))</f>
        <v>LEFT</v>
      </c>
    </row>
    <row r="111" spans="1:22" x14ac:dyDescent="0.35">
      <c r="A111" s="4" t="s">
        <v>196</v>
      </c>
      <c r="B111" s="6" t="s">
        <v>38</v>
      </c>
      <c r="C111" s="6" t="s">
        <v>29</v>
      </c>
      <c r="D111" s="6" t="s">
        <v>43</v>
      </c>
      <c r="E111" s="8">
        <v>42625</v>
      </c>
      <c r="F111" s="10">
        <v>114681</v>
      </c>
      <c r="G111">
        <v>88</v>
      </c>
      <c r="H111" t="s">
        <v>17</v>
      </c>
      <c r="J111" s="4" t="str">
        <f>TRIM(CLEAN(A111))</f>
        <v>EMP009</v>
      </c>
      <c r="K111" s="6" t="str">
        <f>TRIM(CLEAN(PROPER(B111)))</f>
        <v>Jessica</v>
      </c>
      <c r="L111" s="6" t="str">
        <f>TRIM(CLEAN(PROPER(C111)))</f>
        <v>Smith</v>
      </c>
      <c r="M111" s="22" t="str">
        <f t="shared" si="3"/>
        <v>Jessica Smith</v>
      </c>
      <c r="N111" s="22" t="str">
        <f>_xlfn.XLOOKUP(O111,Lookup_Departments!$A$2:$A$7,Lookup_Departments!$B$2:$B$7,"Not Found")</f>
        <v>Sales</v>
      </c>
      <c r="O111" s="4" t="str">
        <f>IFERROR(VLOOKUP(D111,Lookup_Departments!$A$2:$B$7,1,FALSE),"Invalid")</f>
        <v>SAL05</v>
      </c>
      <c r="P111" s="8">
        <f t="shared" si="4"/>
        <v>42625</v>
      </c>
      <c r="Q111" s="17">
        <f t="shared" ca="1" si="5"/>
        <v>9</v>
      </c>
      <c r="R111" s="14">
        <f>IF(F111="",AVERAGEIF($D$2:$D$151,D111,$F$2:$F$151),F111)</f>
        <v>114681</v>
      </c>
      <c r="S111" s="17">
        <f>IF(G111="",AVERAGE($G$2:$G$158),G111)</f>
        <v>88</v>
      </c>
      <c r="T111" s="6" t="str">
        <f>_xlfn.XLOOKUP(S111,Lookup_Performance!$A$2:$A$6,Lookup_Performance!$C$2:$C$6,"Not Found",-1)</f>
        <v>Exceeding</v>
      </c>
      <c r="U111" s="24">
        <f>_xlfn.XLOOKUP(S111,Lookup_Performance!$A$2:$A$6,Lookup_Performance!$D$2:$D$6,"Not Found",-1)</f>
        <v>0.08</v>
      </c>
      <c r="V111" s="6" t="str">
        <f>TRIM(CLEAN(UPPER(H111)))</f>
        <v>ACTIVE</v>
      </c>
    </row>
    <row r="112" spans="1:22" x14ac:dyDescent="0.35">
      <c r="A112" s="4" t="s">
        <v>197</v>
      </c>
      <c r="B112" s="6" t="s">
        <v>28</v>
      </c>
      <c r="C112" s="6" t="s">
        <v>58</v>
      </c>
      <c r="D112" s="6" t="s">
        <v>33</v>
      </c>
      <c r="E112" s="8">
        <v>44421</v>
      </c>
      <c r="F112" s="10">
        <v>109121</v>
      </c>
      <c r="G112">
        <v>77</v>
      </c>
      <c r="H112" t="s">
        <v>12</v>
      </c>
      <c r="J112" s="4" t="str">
        <f>TRIM(CLEAN(A112))</f>
        <v>EMP014</v>
      </c>
      <c r="K112" s="6" t="str">
        <f>TRIM(CLEAN(PROPER(B112)))</f>
        <v>Thomas</v>
      </c>
      <c r="L112" s="6" t="str">
        <f>TRIM(CLEAN(PROPER(C112)))</f>
        <v>Jones</v>
      </c>
      <c r="M112" s="22" t="str">
        <f t="shared" si="3"/>
        <v>Thomas Jones</v>
      </c>
      <c r="N112" s="22" t="str">
        <f>_xlfn.XLOOKUP(O112,Lookup_Departments!$A$2:$A$7,Lookup_Departments!$B$2:$B$7,"Not Found")</f>
        <v>Operations</v>
      </c>
      <c r="O112" s="4" t="str">
        <f>IFERROR(VLOOKUP(D112,Lookup_Departments!$A$2:$B$7,1,FALSE),"Invalid")</f>
        <v>OPS06</v>
      </c>
      <c r="P112" s="8">
        <f t="shared" si="4"/>
        <v>44421</v>
      </c>
      <c r="Q112" s="17">
        <f t="shared" ca="1" si="5"/>
        <v>4</v>
      </c>
      <c r="R112" s="14">
        <f>IF(F112="",AVERAGEIF($D$2:$D$151,D112,$F$2:$F$151),F112)</f>
        <v>109121</v>
      </c>
      <c r="S112" s="17">
        <f>IF(G112="",AVERAGE($G$2:$G$158),G112)</f>
        <v>77</v>
      </c>
      <c r="T112" s="6" t="str">
        <f>_xlfn.XLOOKUP(S112,Lookup_Performance!$A$2:$A$6,Lookup_Performance!$C$2:$C$6,"Not Found",-1)</f>
        <v>Achieving</v>
      </c>
      <c r="U112" s="24">
        <f>_xlfn.XLOOKUP(S112,Lookup_Performance!$A$2:$A$6,Lookup_Performance!$D$2:$D$6,"Not Found",-1)</f>
        <v>0.05</v>
      </c>
      <c r="V112" s="6" t="str">
        <f>TRIM(CLEAN(UPPER(H112)))</f>
        <v>ACTIVE</v>
      </c>
    </row>
    <row r="113" spans="1:22" x14ac:dyDescent="0.35">
      <c r="A113" s="4" t="s">
        <v>199</v>
      </c>
      <c r="B113" s="6" t="s">
        <v>69</v>
      </c>
      <c r="C113" s="6" t="s">
        <v>10</v>
      </c>
      <c r="D113" s="6" t="s">
        <v>16</v>
      </c>
      <c r="E113" s="8">
        <v>43996</v>
      </c>
      <c r="F113" s="10">
        <v>112791</v>
      </c>
      <c r="G113">
        <v>91</v>
      </c>
      <c r="H113" t="s">
        <v>12</v>
      </c>
      <c r="J113" s="4" t="str">
        <f>TRIM(CLEAN(A113))</f>
        <v>EMP060</v>
      </c>
      <c r="K113" s="6" t="str">
        <f>TRIM(CLEAN(PROPER(B113)))</f>
        <v>Amanda</v>
      </c>
      <c r="L113" s="6" t="str">
        <f>TRIM(CLEAN(PROPER(C113)))</f>
        <v>Brown</v>
      </c>
      <c r="M113" s="22" t="str">
        <f t="shared" si="3"/>
        <v>Amanda Brown</v>
      </c>
      <c r="N113" s="22" t="str">
        <f>_xlfn.XLOOKUP(O113,Lookup_Departments!$A$2:$A$7,Lookup_Departments!$B$2:$B$7,"Not Found")</f>
        <v>Marketing</v>
      </c>
      <c r="O113" s="4" t="str">
        <f>IFERROR(VLOOKUP(D113,Lookup_Departments!$A$2:$B$7,1,FALSE),"Invalid")</f>
        <v>MKT04</v>
      </c>
      <c r="P113" s="8">
        <f t="shared" si="4"/>
        <v>43996</v>
      </c>
      <c r="Q113" s="17">
        <f t="shared" ca="1" si="5"/>
        <v>6</v>
      </c>
      <c r="R113" s="14">
        <f>IF(F113="",AVERAGEIF($D$2:$D$151,D113,$F$2:$F$151),F113)</f>
        <v>112791</v>
      </c>
      <c r="S113" s="17">
        <f>IF(G113="",AVERAGE($G$2:$G$158),G113)</f>
        <v>91</v>
      </c>
      <c r="T113" s="6" t="str">
        <f>_xlfn.XLOOKUP(S113,Lookup_Performance!$A$2:$A$6,Lookup_Performance!$C$2:$C$6,"Not Found",-1)</f>
        <v>Exceeding</v>
      </c>
      <c r="U113" s="24">
        <f>_xlfn.XLOOKUP(S113,Lookup_Performance!$A$2:$A$6,Lookup_Performance!$D$2:$D$6,"Not Found",-1)</f>
        <v>0.08</v>
      </c>
      <c r="V113" s="6" t="str">
        <f>TRIM(CLEAN(UPPER(H113)))</f>
        <v>ACTIVE</v>
      </c>
    </row>
    <row r="114" spans="1:22" x14ac:dyDescent="0.35">
      <c r="A114" s="4" t="s">
        <v>201</v>
      </c>
      <c r="B114" s="6" t="s">
        <v>57</v>
      </c>
      <c r="C114" s="6" t="s">
        <v>25</v>
      </c>
      <c r="D114" s="6" t="s">
        <v>11</v>
      </c>
      <c r="E114" s="8">
        <v>44747</v>
      </c>
      <c r="F114" s="10">
        <v>118008</v>
      </c>
      <c r="G114">
        <v>36</v>
      </c>
      <c r="H114" t="s">
        <v>17</v>
      </c>
      <c r="J114" s="4" t="str">
        <f>TRIM(CLEAN(A114))</f>
        <v>EMP135</v>
      </c>
      <c r="K114" s="6" t="str">
        <f>TRIM(CLEAN(PROPER(B114)))</f>
        <v>Robert</v>
      </c>
      <c r="L114" s="6" t="str">
        <f>TRIM(CLEAN(PROPER(C114)))</f>
        <v>Martinez</v>
      </c>
      <c r="M114" s="22" t="str">
        <f t="shared" si="3"/>
        <v>Robert Martinez</v>
      </c>
      <c r="N114" s="22" t="str">
        <f>_xlfn.XLOOKUP(O114,Lookup_Departments!$A$2:$A$7,Lookup_Departments!$B$2:$B$7,"Not Found")</f>
        <v>Information Technology</v>
      </c>
      <c r="O114" s="4" t="str">
        <f>IFERROR(VLOOKUP(D114,Lookup_Departments!$A$2:$B$7,1,FALSE),"Invalid")</f>
        <v>IT02</v>
      </c>
      <c r="P114" s="8">
        <f t="shared" si="4"/>
        <v>44747</v>
      </c>
      <c r="Q114" s="17">
        <f t="shared" ca="1" si="5"/>
        <v>4</v>
      </c>
      <c r="R114" s="14">
        <f>IF(F114="",AVERAGEIF($D$2:$D$151,D114,$F$2:$F$151),F114)</f>
        <v>118008</v>
      </c>
      <c r="S114" s="17">
        <f>IF(G114="",AVERAGE($G$2:$G$158),G114)</f>
        <v>36</v>
      </c>
      <c r="T114" s="6" t="str">
        <f>_xlfn.XLOOKUP(S114,Lookup_Performance!$A$2:$A$6,Lookup_Performance!$C$2:$C$6,"Not Found",-1)</f>
        <v>Needs Improvement</v>
      </c>
      <c r="U114" s="24">
        <f>_xlfn.XLOOKUP(S114,Lookup_Performance!$A$2:$A$6,Lookup_Performance!$D$2:$D$6,"Not Found",-1)</f>
        <v>0</v>
      </c>
      <c r="V114" s="6" t="str">
        <f>TRIM(CLEAN(UPPER(H114)))</f>
        <v>ACTIVE</v>
      </c>
    </row>
    <row r="115" spans="1:22" x14ac:dyDescent="0.35">
      <c r="A115" s="4" t="s">
        <v>202</v>
      </c>
      <c r="B115" s="6" t="s">
        <v>28</v>
      </c>
      <c r="C115" s="6" t="s">
        <v>46</v>
      </c>
      <c r="D115" s="6" t="s">
        <v>11</v>
      </c>
      <c r="E115" s="8">
        <v>42650</v>
      </c>
      <c r="F115" s="10">
        <v>74370</v>
      </c>
      <c r="G115">
        <v>72</v>
      </c>
      <c r="H115" t="s">
        <v>44</v>
      </c>
      <c r="J115" s="4" t="str">
        <f>TRIM(CLEAN(A115))</f>
        <v>EMP004</v>
      </c>
      <c r="K115" s="6" t="str">
        <f>TRIM(CLEAN(PROPER(B115)))</f>
        <v>Thomas</v>
      </c>
      <c r="L115" s="6" t="str">
        <f>TRIM(CLEAN(PROPER(C115)))</f>
        <v>Miller</v>
      </c>
      <c r="M115" s="22" t="str">
        <f t="shared" si="3"/>
        <v>Thomas Miller</v>
      </c>
      <c r="N115" s="22" t="str">
        <f>_xlfn.XLOOKUP(O115,Lookup_Departments!$A$2:$A$7,Lookup_Departments!$B$2:$B$7,"Not Found")</f>
        <v>Information Technology</v>
      </c>
      <c r="O115" s="4" t="str">
        <f>IFERROR(VLOOKUP(D115,Lookup_Departments!$A$2:$B$7,1,FALSE),"Invalid")</f>
        <v>IT02</v>
      </c>
      <c r="P115" s="8">
        <f t="shared" si="4"/>
        <v>42650</v>
      </c>
      <c r="Q115" s="17">
        <f t="shared" ca="1" si="5"/>
        <v>9</v>
      </c>
      <c r="R115" s="14">
        <f>IF(F115="",AVERAGEIF($D$2:$D$151,D115,$F$2:$F$151),F115)</f>
        <v>74370</v>
      </c>
      <c r="S115" s="17">
        <f>IF(G115="",AVERAGE($G$2:$G$158),G115)</f>
        <v>72</v>
      </c>
      <c r="T115" s="6" t="str">
        <f>_xlfn.XLOOKUP(S115,Lookup_Performance!$A$2:$A$6,Lookup_Performance!$C$2:$C$6,"Not Found",-1)</f>
        <v>Achieving</v>
      </c>
      <c r="U115" s="24">
        <f>_xlfn.XLOOKUP(S115,Lookup_Performance!$A$2:$A$6,Lookup_Performance!$D$2:$D$6,"Not Found",-1)</f>
        <v>0.05</v>
      </c>
      <c r="V115" s="6" t="str">
        <f>TRIM(CLEAN(UPPER(H115)))</f>
        <v>ACTIVE</v>
      </c>
    </row>
    <row r="116" spans="1:22" x14ac:dyDescent="0.35">
      <c r="A116" s="4" t="s">
        <v>203</v>
      </c>
      <c r="B116" s="6" t="s">
        <v>104</v>
      </c>
      <c r="C116" s="6" t="s">
        <v>40</v>
      </c>
      <c r="D116" s="6" t="s">
        <v>11</v>
      </c>
      <c r="E116" s="8">
        <v>44674</v>
      </c>
      <c r="F116" s="10">
        <v>77819</v>
      </c>
      <c r="G116">
        <v>87</v>
      </c>
      <c r="H116" t="s">
        <v>12</v>
      </c>
      <c r="J116" s="4" t="str">
        <f>TRIM(CLEAN(A116))</f>
        <v>EMP018</v>
      </c>
      <c r="K116" s="6" t="str">
        <f>TRIM(CLEAN(PROPER(B116)))</f>
        <v>David</v>
      </c>
      <c r="L116" s="6" t="str">
        <f>TRIM(CLEAN(PROPER(C116)))</f>
        <v>Rodriguez</v>
      </c>
      <c r="M116" s="22" t="str">
        <f t="shared" si="3"/>
        <v>David Rodriguez</v>
      </c>
      <c r="N116" s="22" t="str">
        <f>_xlfn.XLOOKUP(O116,Lookup_Departments!$A$2:$A$7,Lookup_Departments!$B$2:$B$7,"Not Found")</f>
        <v>Information Technology</v>
      </c>
      <c r="O116" s="4" t="str">
        <f>IFERROR(VLOOKUP(D116,Lookup_Departments!$A$2:$B$7,1,FALSE),"Invalid")</f>
        <v>IT02</v>
      </c>
      <c r="P116" s="8">
        <f t="shared" si="4"/>
        <v>44674</v>
      </c>
      <c r="Q116" s="17">
        <f t="shared" ca="1" si="5"/>
        <v>4</v>
      </c>
      <c r="R116" s="14">
        <f>IF(F116="",AVERAGEIF($D$2:$D$151,D116,$F$2:$F$151),F116)</f>
        <v>77819</v>
      </c>
      <c r="S116" s="17">
        <f>IF(G116="",AVERAGE($G$2:$G$158),G116)</f>
        <v>87</v>
      </c>
      <c r="T116" s="6" t="str">
        <f>_xlfn.XLOOKUP(S116,Lookup_Performance!$A$2:$A$6,Lookup_Performance!$C$2:$C$6,"Not Found",-1)</f>
        <v>Exceeding</v>
      </c>
      <c r="U116" s="24">
        <f>_xlfn.XLOOKUP(S116,Lookup_Performance!$A$2:$A$6,Lookup_Performance!$D$2:$D$6,"Not Found",-1)</f>
        <v>0.08</v>
      </c>
      <c r="V116" s="6" t="str">
        <f>TRIM(CLEAN(UPPER(H116)))</f>
        <v>ACTIVE</v>
      </c>
    </row>
    <row r="117" spans="1:22" x14ac:dyDescent="0.35">
      <c r="A117" s="4" t="s">
        <v>204</v>
      </c>
      <c r="B117" s="6" t="s">
        <v>52</v>
      </c>
      <c r="C117" s="6" t="s">
        <v>46</v>
      </c>
      <c r="D117" s="6" t="s">
        <v>16</v>
      </c>
      <c r="E117" s="8">
        <v>43013</v>
      </c>
      <c r="F117" s="10">
        <v>48748</v>
      </c>
      <c r="G117">
        <v>71</v>
      </c>
      <c r="H117" t="s">
        <v>12</v>
      </c>
      <c r="J117" s="4" t="str">
        <f>TRIM(CLEAN(A117))</f>
        <v>EMP039</v>
      </c>
      <c r="K117" s="6" t="str">
        <f>TRIM(CLEAN(PROPER(B117)))</f>
        <v>Jane</v>
      </c>
      <c r="L117" s="6" t="str">
        <f>TRIM(CLEAN(PROPER(C117)))</f>
        <v>Miller</v>
      </c>
      <c r="M117" s="22" t="str">
        <f t="shared" si="3"/>
        <v>Jane Miller</v>
      </c>
      <c r="N117" s="22" t="str">
        <f>_xlfn.XLOOKUP(O117,Lookup_Departments!$A$2:$A$7,Lookup_Departments!$B$2:$B$7,"Not Found")</f>
        <v>Marketing</v>
      </c>
      <c r="O117" s="4" t="str">
        <f>IFERROR(VLOOKUP(D117,Lookup_Departments!$A$2:$B$7,1,FALSE),"Invalid")</f>
        <v>MKT04</v>
      </c>
      <c r="P117" s="8">
        <f t="shared" si="4"/>
        <v>43013</v>
      </c>
      <c r="Q117" s="17">
        <f t="shared" ca="1" si="5"/>
        <v>8</v>
      </c>
      <c r="R117" s="14">
        <f>IF(F117="",AVERAGEIF($D$2:$D$151,D117,$F$2:$F$151),F117)</f>
        <v>48748</v>
      </c>
      <c r="S117" s="17">
        <f>IF(G117="",AVERAGE($G$2:$G$158),G117)</f>
        <v>71</v>
      </c>
      <c r="T117" s="6" t="str">
        <f>_xlfn.XLOOKUP(S117,Lookup_Performance!$A$2:$A$6,Lookup_Performance!$C$2:$C$6,"Not Found",-1)</f>
        <v>Achieving</v>
      </c>
      <c r="U117" s="24">
        <f>_xlfn.XLOOKUP(S117,Lookup_Performance!$A$2:$A$6,Lookup_Performance!$D$2:$D$6,"Not Found",-1)</f>
        <v>0.05</v>
      </c>
      <c r="V117" s="6" t="str">
        <f>TRIM(CLEAN(UPPER(H117)))</f>
        <v>ACTIVE</v>
      </c>
    </row>
    <row r="118" spans="1:22" x14ac:dyDescent="0.35">
      <c r="A118" s="4" t="s">
        <v>205</v>
      </c>
      <c r="B118" s="6" t="s">
        <v>64</v>
      </c>
      <c r="C118" s="6" t="s">
        <v>40</v>
      </c>
      <c r="D118" s="6" t="s">
        <v>33</v>
      </c>
      <c r="E118" s="8">
        <v>43971</v>
      </c>
      <c r="F118" s="10">
        <v>101997</v>
      </c>
      <c r="G118">
        <v>82</v>
      </c>
      <c r="H118" t="s">
        <v>265</v>
      </c>
      <c r="J118" s="4" t="str">
        <f>TRIM(CLEAN(A118))</f>
        <v>EMP073</v>
      </c>
      <c r="K118" s="6" t="str">
        <f>TRIM(CLEAN(PROPER(B118)))</f>
        <v>James</v>
      </c>
      <c r="L118" s="6" t="str">
        <f>TRIM(CLEAN(PROPER(C118)))</f>
        <v>Rodriguez</v>
      </c>
      <c r="M118" s="22" t="str">
        <f t="shared" si="3"/>
        <v>James Rodriguez</v>
      </c>
      <c r="N118" s="22" t="str">
        <f>_xlfn.XLOOKUP(O118,Lookup_Departments!$A$2:$A$7,Lookup_Departments!$B$2:$B$7,"Not Found")</f>
        <v>Operations</v>
      </c>
      <c r="O118" s="4" t="str">
        <f>IFERROR(VLOOKUP(D118,Lookup_Departments!$A$2:$B$7,1,FALSE),"Invalid")</f>
        <v>OPS06</v>
      </c>
      <c r="P118" s="8">
        <f t="shared" si="4"/>
        <v>43971</v>
      </c>
      <c r="Q118" s="17">
        <f t="shared" ca="1" si="5"/>
        <v>6</v>
      </c>
      <c r="R118" s="14">
        <f>IF(F118="",AVERAGEIF($D$2:$D$151,D118,$F$2:$F$151),F118)</f>
        <v>101997</v>
      </c>
      <c r="S118" s="17">
        <f>IF(G118="",AVERAGE($G$2:$G$158),G118)</f>
        <v>82</v>
      </c>
      <c r="T118" s="6" t="str">
        <f>_xlfn.XLOOKUP(S118,Lookup_Performance!$A$2:$A$6,Lookup_Performance!$C$2:$C$6,"Not Found",-1)</f>
        <v>Achieving</v>
      </c>
      <c r="U118" s="24">
        <f>_xlfn.XLOOKUP(S118,Lookup_Performance!$A$2:$A$6,Lookup_Performance!$D$2:$D$6,"Not Found",-1)</f>
        <v>0.05</v>
      </c>
      <c r="V118" s="6" t="str">
        <f>TRIM(CLEAN(UPPER(H118)))</f>
        <v>ACTIVE</v>
      </c>
    </row>
    <row r="119" spans="1:22" x14ac:dyDescent="0.35">
      <c r="A119" s="4" t="s">
        <v>206</v>
      </c>
      <c r="B119" s="6" t="s">
        <v>90</v>
      </c>
      <c r="C119" s="6" t="s">
        <v>40</v>
      </c>
      <c r="D119" s="6" t="s">
        <v>92</v>
      </c>
      <c r="E119" s="8" t="s">
        <v>207</v>
      </c>
      <c r="F119" s="10">
        <v>115260</v>
      </c>
      <c r="G119">
        <v>79</v>
      </c>
      <c r="H119" t="s">
        <v>17</v>
      </c>
      <c r="J119" s="4" t="str">
        <f>TRIM(CLEAN(A119))</f>
        <v>EMP138</v>
      </c>
      <c r="K119" s="6" t="str">
        <f>TRIM(CLEAN(PROPER(B119)))</f>
        <v>Sarah</v>
      </c>
      <c r="L119" s="6" t="str">
        <f>TRIM(CLEAN(PROPER(C119)))</f>
        <v>Rodriguez</v>
      </c>
      <c r="M119" s="22" t="str">
        <f t="shared" si="3"/>
        <v>Sarah Rodriguez</v>
      </c>
      <c r="N119" s="22" t="str">
        <f>_xlfn.XLOOKUP(O119,Lookup_Departments!$A$2:$A$7,Lookup_Departments!$B$2:$B$7,"Not Found")</f>
        <v>Human Resources</v>
      </c>
      <c r="O119" s="4" t="str">
        <f>IFERROR(VLOOKUP(D119,Lookup_Departments!$A$2:$B$7,1,FALSE),"Invalid")</f>
        <v>HR01</v>
      </c>
      <c r="P119" s="8">
        <f t="shared" si="4"/>
        <v>45036</v>
      </c>
      <c r="Q119" s="17">
        <f t="shared" ca="1" si="5"/>
        <v>3</v>
      </c>
      <c r="R119" s="14">
        <f>IF(F119="",AVERAGEIF($D$2:$D$151,D119,$F$2:$F$151),F119)</f>
        <v>115260</v>
      </c>
      <c r="S119" s="17">
        <f>IF(G119="",AVERAGE($G$2:$G$158),G119)</f>
        <v>79</v>
      </c>
      <c r="T119" s="6" t="str">
        <f>_xlfn.XLOOKUP(S119,Lookup_Performance!$A$2:$A$6,Lookup_Performance!$C$2:$C$6,"Not Found",-1)</f>
        <v>Achieving</v>
      </c>
      <c r="U119" s="24">
        <f>_xlfn.XLOOKUP(S119,Lookup_Performance!$A$2:$A$6,Lookup_Performance!$D$2:$D$6,"Not Found",-1)</f>
        <v>0.05</v>
      </c>
      <c r="V119" s="6" t="str">
        <f>TRIM(CLEAN(UPPER(H119)))</f>
        <v>ACTIVE</v>
      </c>
    </row>
    <row r="120" spans="1:22" x14ac:dyDescent="0.35">
      <c r="A120" s="4" t="s">
        <v>208</v>
      </c>
      <c r="B120" s="6" t="s">
        <v>90</v>
      </c>
      <c r="C120" s="6" t="s">
        <v>35</v>
      </c>
      <c r="D120" s="6" t="s">
        <v>43</v>
      </c>
      <c r="E120" s="8">
        <v>44500</v>
      </c>
      <c r="G120">
        <v>83</v>
      </c>
      <c r="H120" t="s">
        <v>265</v>
      </c>
      <c r="J120" s="4" t="str">
        <f>TRIM(CLEAN(A120))</f>
        <v>EMP007</v>
      </c>
      <c r="K120" s="6" t="str">
        <f>TRIM(CLEAN(PROPER(B120)))</f>
        <v>Sarah</v>
      </c>
      <c r="L120" s="6" t="str">
        <f>TRIM(CLEAN(PROPER(C120)))</f>
        <v>Wilson</v>
      </c>
      <c r="M120" s="22" t="str">
        <f t="shared" si="3"/>
        <v>Sarah Wilson</v>
      </c>
      <c r="N120" s="22" t="str">
        <f>_xlfn.XLOOKUP(O120,Lookup_Departments!$A$2:$A$7,Lookup_Departments!$B$2:$B$7,"Not Found")</f>
        <v>Sales</v>
      </c>
      <c r="O120" s="4" t="str">
        <f>IFERROR(VLOOKUP(D120,Lookup_Departments!$A$2:$B$7,1,FALSE),"Invalid")</f>
        <v>SAL05</v>
      </c>
      <c r="P120" s="8">
        <f t="shared" si="4"/>
        <v>44500</v>
      </c>
      <c r="Q120" s="17">
        <f t="shared" ca="1" si="5"/>
        <v>4</v>
      </c>
      <c r="R120" s="14">
        <f>IF(F120="",AVERAGEIF($D$2:$D$151,D120,$F$2:$F$151),F120)</f>
        <v>87282.34782608696</v>
      </c>
      <c r="S120" s="17">
        <f>IF(G120="",AVERAGE($G$2:$G$158),G120)</f>
        <v>83</v>
      </c>
      <c r="T120" s="6" t="str">
        <f>_xlfn.XLOOKUP(S120,Lookup_Performance!$A$2:$A$6,Lookup_Performance!$C$2:$C$6,"Not Found",-1)</f>
        <v>Achieving</v>
      </c>
      <c r="U120" s="24">
        <f>_xlfn.XLOOKUP(S120,Lookup_Performance!$A$2:$A$6,Lookup_Performance!$D$2:$D$6,"Not Found",-1)</f>
        <v>0.05</v>
      </c>
      <c r="V120" s="6" t="str">
        <f>TRIM(CLEAN(UPPER(H120)))</f>
        <v>ACTIVE</v>
      </c>
    </row>
    <row r="121" spans="1:22" x14ac:dyDescent="0.35">
      <c r="A121" s="4" t="s">
        <v>209</v>
      </c>
      <c r="B121" s="6" t="s">
        <v>97</v>
      </c>
      <c r="C121" s="6" t="s">
        <v>10</v>
      </c>
      <c r="D121" s="6" t="s">
        <v>11</v>
      </c>
      <c r="E121" s="8">
        <v>44493</v>
      </c>
      <c r="G121">
        <v>38</v>
      </c>
      <c r="H121" t="s">
        <v>107</v>
      </c>
      <c r="J121" s="4" t="str">
        <f>TRIM(CLEAN(A121))</f>
        <v>EMP144</v>
      </c>
      <c r="K121" s="6" t="str">
        <f>TRIM(CLEAN(PROPER(B121)))</f>
        <v>Melissa</v>
      </c>
      <c r="L121" s="6" t="str">
        <f>TRIM(CLEAN(PROPER(C121)))</f>
        <v>Brown</v>
      </c>
      <c r="M121" s="22" t="str">
        <f t="shared" si="3"/>
        <v>Melissa Brown</v>
      </c>
      <c r="N121" s="22" t="str">
        <f>_xlfn.XLOOKUP(O121,Lookup_Departments!$A$2:$A$7,Lookup_Departments!$B$2:$B$7,"Not Found")</f>
        <v>Information Technology</v>
      </c>
      <c r="O121" s="4" t="str">
        <f>IFERROR(VLOOKUP(D121,Lookup_Departments!$A$2:$B$7,1,FALSE),"Invalid")</f>
        <v>IT02</v>
      </c>
      <c r="P121" s="8">
        <f t="shared" si="4"/>
        <v>44493</v>
      </c>
      <c r="Q121" s="17">
        <f t="shared" ca="1" si="5"/>
        <v>4</v>
      </c>
      <c r="R121" s="14">
        <f>IF(F121="",AVERAGEIF($D$2:$D$151,D121,$F$2:$F$151),F121)</f>
        <v>80014.258064516136</v>
      </c>
      <c r="S121" s="17">
        <f>IF(G121="",AVERAGE($G$2:$G$158),G121)</f>
        <v>38</v>
      </c>
      <c r="T121" s="6" t="str">
        <f>_xlfn.XLOOKUP(S121,Lookup_Performance!$A$2:$A$6,Lookup_Performance!$C$2:$C$6,"Not Found",-1)</f>
        <v>Needs Improvement</v>
      </c>
      <c r="U121" s="24">
        <f>_xlfn.XLOOKUP(S121,Lookup_Performance!$A$2:$A$6,Lookup_Performance!$D$2:$D$6,"Not Found",-1)</f>
        <v>0</v>
      </c>
      <c r="V121" s="6" t="str">
        <f>TRIM(CLEAN(UPPER(H121)))</f>
        <v>RESIGNED</v>
      </c>
    </row>
    <row r="122" spans="1:22" x14ac:dyDescent="0.35">
      <c r="A122" s="4" t="s">
        <v>210</v>
      </c>
      <c r="B122" s="6" t="s">
        <v>57</v>
      </c>
      <c r="C122" s="6" t="s">
        <v>53</v>
      </c>
      <c r="D122" s="6" t="s">
        <v>43</v>
      </c>
      <c r="E122" s="8">
        <v>42956</v>
      </c>
      <c r="G122">
        <v>77</v>
      </c>
      <c r="H122" t="s">
        <v>265</v>
      </c>
      <c r="J122" s="4" t="str">
        <f>TRIM(CLEAN(A122))</f>
        <v>EMP101</v>
      </c>
      <c r="K122" s="6" t="str">
        <f>TRIM(CLEAN(PROPER(B122)))</f>
        <v>Robert</v>
      </c>
      <c r="L122" s="6" t="str">
        <f>TRIM(CLEAN(PROPER(C122)))</f>
        <v>Williams</v>
      </c>
      <c r="M122" s="22" t="str">
        <f t="shared" si="3"/>
        <v>Robert Williams</v>
      </c>
      <c r="N122" s="22" t="str">
        <f>_xlfn.XLOOKUP(O122,Lookup_Departments!$A$2:$A$7,Lookup_Departments!$B$2:$B$7,"Not Found")</f>
        <v>Sales</v>
      </c>
      <c r="O122" s="4" t="str">
        <f>IFERROR(VLOOKUP(D122,Lookup_Departments!$A$2:$B$7,1,FALSE),"Invalid")</f>
        <v>SAL05</v>
      </c>
      <c r="P122" s="8">
        <f t="shared" si="4"/>
        <v>42956</v>
      </c>
      <c r="Q122" s="17">
        <f t="shared" ca="1" si="5"/>
        <v>8</v>
      </c>
      <c r="R122" s="14">
        <f>IF(F122="",AVERAGEIF($D$2:$D$151,D122,$F$2:$F$151),F122)</f>
        <v>87282.34782608696</v>
      </c>
      <c r="S122" s="17">
        <f>IF(G122="",AVERAGE($G$2:$G$158),G122)</f>
        <v>77</v>
      </c>
      <c r="T122" s="6" t="str">
        <f>_xlfn.XLOOKUP(S122,Lookup_Performance!$A$2:$A$6,Lookup_Performance!$C$2:$C$6,"Not Found",-1)</f>
        <v>Achieving</v>
      </c>
      <c r="U122" s="24">
        <f>_xlfn.XLOOKUP(S122,Lookup_Performance!$A$2:$A$6,Lookup_Performance!$D$2:$D$6,"Not Found",-1)</f>
        <v>0.05</v>
      </c>
      <c r="V122" s="6" t="str">
        <f>TRIM(CLEAN(UPPER(H122)))</f>
        <v>ACTIVE</v>
      </c>
    </row>
    <row r="123" spans="1:22" x14ac:dyDescent="0.35">
      <c r="A123" s="4" t="s">
        <v>211</v>
      </c>
      <c r="B123" s="6" t="s">
        <v>97</v>
      </c>
      <c r="C123" s="6" t="s">
        <v>40</v>
      </c>
      <c r="D123" s="6" t="s">
        <v>33</v>
      </c>
      <c r="E123" s="8">
        <v>44930</v>
      </c>
      <c r="F123" s="10">
        <v>60623</v>
      </c>
      <c r="G123">
        <v>49</v>
      </c>
      <c r="H123" t="s">
        <v>12</v>
      </c>
      <c r="J123" s="4" t="str">
        <f>TRIM(CLEAN(A123))</f>
        <v>EMP003</v>
      </c>
      <c r="K123" s="6" t="str">
        <f>TRIM(CLEAN(PROPER(B123)))</f>
        <v>Melissa</v>
      </c>
      <c r="L123" s="6" t="str">
        <f>TRIM(CLEAN(PROPER(C123)))</f>
        <v>Rodriguez</v>
      </c>
      <c r="M123" s="22" t="str">
        <f t="shared" si="3"/>
        <v>Melissa Rodriguez</v>
      </c>
      <c r="N123" s="22" t="str">
        <f>_xlfn.XLOOKUP(O123,Lookup_Departments!$A$2:$A$7,Lookup_Departments!$B$2:$B$7,"Not Found")</f>
        <v>Operations</v>
      </c>
      <c r="O123" s="4" t="str">
        <f>IFERROR(VLOOKUP(D123,Lookup_Departments!$A$2:$B$7,1,FALSE),"Invalid")</f>
        <v>OPS06</v>
      </c>
      <c r="P123" s="8">
        <f t="shared" si="4"/>
        <v>44930</v>
      </c>
      <c r="Q123" s="17">
        <f t="shared" ca="1" si="5"/>
        <v>3</v>
      </c>
      <c r="R123" s="14">
        <f>IF(F123="",AVERAGEIF($D$2:$D$151,D123,$F$2:$F$151),F123)</f>
        <v>60623</v>
      </c>
      <c r="S123" s="17">
        <f>IF(G123="",AVERAGE($G$2:$G$158),G123)</f>
        <v>49</v>
      </c>
      <c r="T123" s="6" t="str">
        <f>_xlfn.XLOOKUP(S123,Lookup_Performance!$A$2:$A$6,Lookup_Performance!$C$2:$C$6,"Not Found",-1)</f>
        <v>Needs Improvement</v>
      </c>
      <c r="U123" s="24">
        <f>_xlfn.XLOOKUP(S123,Lookup_Performance!$A$2:$A$6,Lookup_Performance!$D$2:$D$6,"Not Found",-1)</f>
        <v>0</v>
      </c>
      <c r="V123" s="6" t="str">
        <f>TRIM(CLEAN(UPPER(H123)))</f>
        <v>ACTIVE</v>
      </c>
    </row>
    <row r="124" spans="1:22" x14ac:dyDescent="0.35">
      <c r="A124" s="4" t="s">
        <v>212</v>
      </c>
      <c r="B124" s="6" t="s">
        <v>64</v>
      </c>
      <c r="C124" s="6" t="s">
        <v>32</v>
      </c>
      <c r="D124" s="6" t="s">
        <v>92</v>
      </c>
      <c r="E124" s="8">
        <v>44053</v>
      </c>
      <c r="F124" s="10">
        <v>68092</v>
      </c>
      <c r="G124">
        <v>69</v>
      </c>
      <c r="H124" t="s">
        <v>100</v>
      </c>
      <c r="J124" s="4" t="str">
        <f>TRIM(CLEAN(A124))</f>
        <v>EMP121</v>
      </c>
      <c r="K124" s="6" t="str">
        <f>TRIM(CLEAN(PROPER(B124)))</f>
        <v>James</v>
      </c>
      <c r="L124" s="6" t="str">
        <f>TRIM(CLEAN(PROPER(C124)))</f>
        <v>Johnson</v>
      </c>
      <c r="M124" s="22" t="str">
        <f t="shared" si="3"/>
        <v>James Johnson</v>
      </c>
      <c r="N124" s="22" t="str">
        <f>_xlfn.XLOOKUP(O124,Lookup_Departments!$A$2:$A$7,Lookup_Departments!$B$2:$B$7,"Not Found")</f>
        <v>Human Resources</v>
      </c>
      <c r="O124" s="4" t="str">
        <f>IFERROR(VLOOKUP(D124,Lookup_Departments!$A$2:$B$7,1,FALSE),"Invalid")</f>
        <v>HR01</v>
      </c>
      <c r="P124" s="8">
        <f t="shared" si="4"/>
        <v>44053</v>
      </c>
      <c r="Q124" s="17">
        <f t="shared" ca="1" si="5"/>
        <v>5</v>
      </c>
      <c r="R124" s="14">
        <f>IF(F124="",AVERAGEIF($D$2:$D$151,D124,$F$2:$F$151),F124)</f>
        <v>68092</v>
      </c>
      <c r="S124" s="17">
        <f>IF(G124="",AVERAGE($G$2:$G$158),G124)</f>
        <v>69</v>
      </c>
      <c r="T124" s="6" t="str">
        <f>_xlfn.XLOOKUP(S124,Lookup_Performance!$A$2:$A$6,Lookup_Performance!$C$2:$C$6,"Not Found",-1)</f>
        <v>Developing</v>
      </c>
      <c r="U124" s="24">
        <f>_xlfn.XLOOKUP(S124,Lookup_Performance!$A$2:$A$6,Lookup_Performance!$D$2:$D$6,"Not Found",-1)</f>
        <v>0.02</v>
      </c>
      <c r="V124" s="6" t="str">
        <f>TRIM(CLEAN(UPPER(H124)))</f>
        <v>LEFT</v>
      </c>
    </row>
    <row r="125" spans="1:22" x14ac:dyDescent="0.35">
      <c r="A125" s="4" t="s">
        <v>214</v>
      </c>
      <c r="B125" s="6" t="s">
        <v>42</v>
      </c>
      <c r="C125" s="6" t="s">
        <v>35</v>
      </c>
      <c r="D125" s="6" t="s">
        <v>16</v>
      </c>
      <c r="E125" s="8">
        <v>44653</v>
      </c>
      <c r="F125" s="10">
        <v>88155</v>
      </c>
      <c r="G125">
        <v>76</v>
      </c>
      <c r="H125" t="s">
        <v>12</v>
      </c>
      <c r="J125" s="4" t="str">
        <f>TRIM(CLEAN(A125))</f>
        <v>EMP064</v>
      </c>
      <c r="K125" s="6" t="str">
        <f>TRIM(CLEAN(PROPER(B125)))</f>
        <v>Michael</v>
      </c>
      <c r="L125" s="6" t="str">
        <f>TRIM(CLEAN(PROPER(C125)))</f>
        <v>Wilson</v>
      </c>
      <c r="M125" s="22" t="str">
        <f t="shared" si="3"/>
        <v>Michael Wilson</v>
      </c>
      <c r="N125" s="22" t="str">
        <f>_xlfn.XLOOKUP(O125,Lookup_Departments!$A$2:$A$7,Lookup_Departments!$B$2:$B$7,"Not Found")</f>
        <v>Marketing</v>
      </c>
      <c r="O125" s="4" t="str">
        <f>IFERROR(VLOOKUP(D125,Lookup_Departments!$A$2:$B$7,1,FALSE),"Invalid")</f>
        <v>MKT04</v>
      </c>
      <c r="P125" s="8">
        <f t="shared" si="4"/>
        <v>44653</v>
      </c>
      <c r="Q125" s="17">
        <f t="shared" ca="1" si="5"/>
        <v>4</v>
      </c>
      <c r="R125" s="14">
        <f>IF(F125="",AVERAGEIF($D$2:$D$151,D125,$F$2:$F$151),F125)</f>
        <v>88155</v>
      </c>
      <c r="S125" s="17">
        <f>IF(G125="",AVERAGE($G$2:$G$158),G125)</f>
        <v>76</v>
      </c>
      <c r="T125" s="6" t="str">
        <f>_xlfn.XLOOKUP(S125,Lookup_Performance!$A$2:$A$6,Lookup_Performance!$C$2:$C$6,"Not Found",-1)</f>
        <v>Achieving</v>
      </c>
      <c r="U125" s="24">
        <f>_xlfn.XLOOKUP(S125,Lookup_Performance!$A$2:$A$6,Lookup_Performance!$D$2:$D$6,"Not Found",-1)</f>
        <v>0.05</v>
      </c>
      <c r="V125" s="6" t="str">
        <f>TRIM(CLEAN(UPPER(H125)))</f>
        <v>ACTIVE</v>
      </c>
    </row>
    <row r="126" spans="1:22" x14ac:dyDescent="0.35">
      <c r="A126" s="4" t="s">
        <v>215</v>
      </c>
      <c r="B126" s="6" t="s">
        <v>145</v>
      </c>
      <c r="C126" s="6" t="s">
        <v>58</v>
      </c>
      <c r="D126" s="6" t="s">
        <v>16</v>
      </c>
      <c r="E126" s="8">
        <v>43183</v>
      </c>
      <c r="F126" s="10">
        <v>107903</v>
      </c>
      <c r="G126">
        <v>78</v>
      </c>
      <c r="H126" t="s">
        <v>44</v>
      </c>
      <c r="J126" s="4" t="str">
        <f>TRIM(CLEAN(A126))</f>
        <v>EMP116</v>
      </c>
      <c r="K126" s="6" t="str">
        <f>TRIM(CLEAN(PROPER(B126)))</f>
        <v>William</v>
      </c>
      <c r="L126" s="6" t="str">
        <f>TRIM(CLEAN(PROPER(C126)))</f>
        <v>Jones</v>
      </c>
      <c r="M126" s="22" t="str">
        <f t="shared" si="3"/>
        <v>William Jones</v>
      </c>
      <c r="N126" s="22" t="str">
        <f>_xlfn.XLOOKUP(O126,Lookup_Departments!$A$2:$A$7,Lookup_Departments!$B$2:$B$7,"Not Found")</f>
        <v>Marketing</v>
      </c>
      <c r="O126" s="4" t="str">
        <f>IFERROR(VLOOKUP(D126,Lookup_Departments!$A$2:$B$7,1,FALSE),"Invalid")</f>
        <v>MKT04</v>
      </c>
      <c r="P126" s="8">
        <f t="shared" si="4"/>
        <v>43183</v>
      </c>
      <c r="Q126" s="17">
        <f t="shared" ca="1" si="5"/>
        <v>8</v>
      </c>
      <c r="R126" s="14">
        <f>IF(F126="",AVERAGEIF($D$2:$D$151,D126,$F$2:$F$151),F126)</f>
        <v>107903</v>
      </c>
      <c r="S126" s="17">
        <f>IF(G126="",AVERAGE($G$2:$G$158),G126)</f>
        <v>78</v>
      </c>
      <c r="T126" s="6" t="str">
        <f>_xlfn.XLOOKUP(S126,Lookup_Performance!$A$2:$A$6,Lookup_Performance!$C$2:$C$6,"Not Found",-1)</f>
        <v>Achieving</v>
      </c>
      <c r="U126" s="24">
        <f>_xlfn.XLOOKUP(S126,Lookup_Performance!$A$2:$A$6,Lookup_Performance!$D$2:$D$6,"Not Found",-1)</f>
        <v>0.05</v>
      </c>
      <c r="V126" s="6" t="str">
        <f>TRIM(CLEAN(UPPER(H126)))</f>
        <v>ACTIVE</v>
      </c>
    </row>
    <row r="127" spans="1:22" x14ac:dyDescent="0.35">
      <c r="A127" s="4" t="s">
        <v>216</v>
      </c>
      <c r="B127" s="6" t="s">
        <v>145</v>
      </c>
      <c r="C127" s="6" t="s">
        <v>53</v>
      </c>
      <c r="D127" s="6" t="s">
        <v>11</v>
      </c>
      <c r="E127" s="8">
        <v>43305</v>
      </c>
      <c r="F127" s="10">
        <v>62818</v>
      </c>
      <c r="G127">
        <v>93</v>
      </c>
      <c r="H127" t="s">
        <v>12</v>
      </c>
      <c r="J127" s="4" t="str">
        <f>TRIM(CLEAN(A127))</f>
        <v>EMP055</v>
      </c>
      <c r="K127" s="6" t="str">
        <f>TRIM(CLEAN(PROPER(B127)))</f>
        <v>William</v>
      </c>
      <c r="L127" s="6" t="str">
        <f>TRIM(CLEAN(PROPER(C127)))</f>
        <v>Williams</v>
      </c>
      <c r="M127" s="22" t="str">
        <f t="shared" si="3"/>
        <v>William Williams</v>
      </c>
      <c r="N127" s="22" t="str">
        <f>_xlfn.XLOOKUP(O127,Lookup_Departments!$A$2:$A$7,Lookup_Departments!$B$2:$B$7,"Not Found")</f>
        <v>Information Technology</v>
      </c>
      <c r="O127" s="4" t="str">
        <f>IFERROR(VLOOKUP(D127,Lookup_Departments!$A$2:$B$7,1,FALSE),"Invalid")</f>
        <v>IT02</v>
      </c>
      <c r="P127" s="8">
        <f t="shared" si="4"/>
        <v>43305</v>
      </c>
      <c r="Q127" s="17">
        <f t="shared" ca="1" si="5"/>
        <v>7</v>
      </c>
      <c r="R127" s="14">
        <f>IF(F127="",AVERAGEIF($D$2:$D$151,D127,$F$2:$F$151),F127)</f>
        <v>62818</v>
      </c>
      <c r="S127" s="17">
        <f>IF(G127="",AVERAGE($G$2:$G$158),G127)</f>
        <v>93</v>
      </c>
      <c r="T127" s="6" t="str">
        <f>_xlfn.XLOOKUP(S127,Lookup_Performance!$A$2:$A$6,Lookup_Performance!$C$2:$C$6,"Not Found",-1)</f>
        <v>Exceeding</v>
      </c>
      <c r="U127" s="24">
        <f>_xlfn.XLOOKUP(S127,Lookup_Performance!$A$2:$A$6,Lookup_Performance!$D$2:$D$6,"Not Found",-1)</f>
        <v>0.08</v>
      </c>
      <c r="V127" s="6" t="str">
        <f>TRIM(CLEAN(UPPER(H127)))</f>
        <v>ACTIVE</v>
      </c>
    </row>
    <row r="128" spans="1:22" x14ac:dyDescent="0.35">
      <c r="A128" s="4" t="s">
        <v>217</v>
      </c>
      <c r="B128" s="6" t="s">
        <v>104</v>
      </c>
      <c r="C128" s="6" t="s">
        <v>53</v>
      </c>
      <c r="D128" s="6" t="s">
        <v>92</v>
      </c>
      <c r="E128" s="8">
        <v>43301</v>
      </c>
      <c r="F128" s="10">
        <v>85151</v>
      </c>
      <c r="G128">
        <v>68</v>
      </c>
      <c r="H128" t="s">
        <v>44</v>
      </c>
      <c r="J128" s="4" t="str">
        <f>TRIM(CLEAN(A128))</f>
        <v>EMP108</v>
      </c>
      <c r="K128" s="6" t="str">
        <f>TRIM(CLEAN(PROPER(B128)))</f>
        <v>David</v>
      </c>
      <c r="L128" s="6" t="str">
        <f>TRIM(CLEAN(PROPER(C128)))</f>
        <v>Williams</v>
      </c>
      <c r="M128" s="22" t="str">
        <f t="shared" si="3"/>
        <v>David Williams</v>
      </c>
      <c r="N128" s="22" t="str">
        <f>_xlfn.XLOOKUP(O128,Lookup_Departments!$A$2:$A$7,Lookup_Departments!$B$2:$B$7,"Not Found")</f>
        <v>Human Resources</v>
      </c>
      <c r="O128" s="4" t="str">
        <f>IFERROR(VLOOKUP(D128,Lookup_Departments!$A$2:$B$7,1,FALSE),"Invalid")</f>
        <v>HR01</v>
      </c>
      <c r="P128" s="8">
        <f t="shared" si="4"/>
        <v>43301</v>
      </c>
      <c r="Q128" s="17">
        <f t="shared" ca="1" si="5"/>
        <v>7</v>
      </c>
      <c r="R128" s="14">
        <f>IF(F128="",AVERAGEIF($D$2:$D$151,D128,$F$2:$F$151),F128)</f>
        <v>85151</v>
      </c>
      <c r="S128" s="17">
        <f>IF(G128="",AVERAGE($G$2:$G$158),G128)</f>
        <v>68</v>
      </c>
      <c r="T128" s="6" t="str">
        <f>_xlfn.XLOOKUP(S128,Lookup_Performance!$A$2:$A$6,Lookup_Performance!$C$2:$C$6,"Not Found",-1)</f>
        <v>Developing</v>
      </c>
      <c r="U128" s="24">
        <f>_xlfn.XLOOKUP(S128,Lookup_Performance!$A$2:$A$6,Lookup_Performance!$D$2:$D$6,"Not Found",-1)</f>
        <v>0.02</v>
      </c>
      <c r="V128" s="6" t="str">
        <f>TRIM(CLEAN(UPPER(H128)))</f>
        <v>ACTIVE</v>
      </c>
    </row>
    <row r="129" spans="1:22" x14ac:dyDescent="0.35">
      <c r="A129" s="4" t="s">
        <v>218</v>
      </c>
      <c r="B129" s="6" t="s">
        <v>52</v>
      </c>
      <c r="C129" s="6" t="s">
        <v>62</v>
      </c>
      <c r="D129" s="6" t="s">
        <v>26</v>
      </c>
      <c r="E129" s="8">
        <v>42433</v>
      </c>
      <c r="F129" s="10">
        <v>46390</v>
      </c>
      <c r="G129">
        <v>42</v>
      </c>
      <c r="H129" t="s">
        <v>17</v>
      </c>
      <c r="J129" s="4" t="str">
        <f>TRIM(CLEAN(A129))</f>
        <v>EMP051</v>
      </c>
      <c r="K129" s="6" t="str">
        <f>TRIM(CLEAN(PROPER(B129)))</f>
        <v>Jane</v>
      </c>
      <c r="L129" s="6" t="str">
        <f>TRIM(CLEAN(PROPER(C129)))</f>
        <v>Davis</v>
      </c>
      <c r="M129" s="22" t="str">
        <f t="shared" si="3"/>
        <v>Jane Davis</v>
      </c>
      <c r="N129" s="22" t="str">
        <f>_xlfn.XLOOKUP(O129,Lookup_Departments!$A$2:$A$7,Lookup_Departments!$B$2:$B$7,"Not Found")</f>
        <v>Finance</v>
      </c>
      <c r="O129" s="4" t="str">
        <f>IFERROR(VLOOKUP(D129,Lookup_Departments!$A$2:$B$7,1,FALSE),"Invalid")</f>
        <v>FIN03</v>
      </c>
      <c r="P129" s="8">
        <f t="shared" si="4"/>
        <v>42433</v>
      </c>
      <c r="Q129" s="17">
        <f t="shared" ca="1" si="5"/>
        <v>10</v>
      </c>
      <c r="R129" s="14">
        <f>IF(F129="",AVERAGEIF($D$2:$D$151,D129,$F$2:$F$151),F129)</f>
        <v>46390</v>
      </c>
      <c r="S129" s="17">
        <f>IF(G129="",AVERAGE($G$2:$G$158),G129)</f>
        <v>42</v>
      </c>
      <c r="T129" s="6" t="str">
        <f>_xlfn.XLOOKUP(S129,Lookup_Performance!$A$2:$A$6,Lookup_Performance!$C$2:$C$6,"Not Found",-1)</f>
        <v>Needs Improvement</v>
      </c>
      <c r="U129" s="24">
        <f>_xlfn.XLOOKUP(S129,Lookup_Performance!$A$2:$A$6,Lookup_Performance!$D$2:$D$6,"Not Found",-1)</f>
        <v>0</v>
      </c>
      <c r="V129" s="6" t="str">
        <f>TRIM(CLEAN(UPPER(H129)))</f>
        <v>ACTIVE</v>
      </c>
    </row>
    <row r="130" spans="1:22" x14ac:dyDescent="0.35">
      <c r="A130" s="4" t="s">
        <v>219</v>
      </c>
      <c r="B130" s="6" t="s">
        <v>24</v>
      </c>
      <c r="C130" s="6" t="s">
        <v>25</v>
      </c>
      <c r="D130" s="6" t="s">
        <v>92</v>
      </c>
      <c r="E130" s="8">
        <v>44643</v>
      </c>
      <c r="F130" s="10">
        <v>111920</v>
      </c>
      <c r="G130">
        <v>34</v>
      </c>
      <c r="H130" t="s">
        <v>17</v>
      </c>
      <c r="J130" s="4" t="str">
        <f>TRIM(CLEAN(A130))</f>
        <v>EMP059</v>
      </c>
      <c r="K130" s="6" t="str">
        <f>TRIM(CLEAN(PROPER(B130)))</f>
        <v>John</v>
      </c>
      <c r="L130" s="6" t="str">
        <f>TRIM(CLEAN(PROPER(C130)))</f>
        <v>Martinez</v>
      </c>
      <c r="M130" s="22" t="str">
        <f t="shared" si="3"/>
        <v>John Martinez</v>
      </c>
      <c r="N130" s="22" t="str">
        <f>_xlfn.XLOOKUP(O130,Lookup_Departments!$A$2:$A$7,Lookup_Departments!$B$2:$B$7,"Not Found")</f>
        <v>Human Resources</v>
      </c>
      <c r="O130" s="4" t="str">
        <f>IFERROR(VLOOKUP(D130,Lookup_Departments!$A$2:$B$7,1,FALSE),"Invalid")</f>
        <v>HR01</v>
      </c>
      <c r="P130" s="8">
        <f t="shared" si="4"/>
        <v>44643</v>
      </c>
      <c r="Q130" s="17">
        <f t="shared" ca="1" si="5"/>
        <v>4</v>
      </c>
      <c r="R130" s="14">
        <f>IF(F130="",AVERAGEIF($D$2:$D$151,D130,$F$2:$F$151),F130)</f>
        <v>111920</v>
      </c>
      <c r="S130" s="17">
        <f>IF(G130="",AVERAGE($G$2:$G$158),G130)</f>
        <v>34</v>
      </c>
      <c r="T130" s="6" t="str">
        <f>_xlfn.XLOOKUP(S130,Lookup_Performance!$A$2:$A$6,Lookup_Performance!$C$2:$C$6,"Not Found",-1)</f>
        <v>Needs Improvement</v>
      </c>
      <c r="U130" s="24">
        <f>_xlfn.XLOOKUP(S130,Lookup_Performance!$A$2:$A$6,Lookup_Performance!$D$2:$D$6,"Not Found",-1)</f>
        <v>0</v>
      </c>
      <c r="V130" s="6" t="str">
        <f>TRIM(CLEAN(UPPER(H130)))</f>
        <v>ACTIVE</v>
      </c>
    </row>
    <row r="131" spans="1:22" x14ac:dyDescent="0.35">
      <c r="A131" s="4" t="s">
        <v>220</v>
      </c>
      <c r="B131" s="6" t="s">
        <v>104</v>
      </c>
      <c r="C131" s="6" t="s">
        <v>124</v>
      </c>
      <c r="D131" s="6" t="s">
        <v>92</v>
      </c>
      <c r="E131" s="8">
        <v>42944</v>
      </c>
      <c r="F131" s="10">
        <v>115618</v>
      </c>
      <c r="G131">
        <v>35</v>
      </c>
      <c r="H131" t="s">
        <v>17</v>
      </c>
      <c r="J131" s="4" t="str">
        <f>TRIM(CLEAN(A131))</f>
        <v>EMP049</v>
      </c>
      <c r="K131" s="6" t="str">
        <f>TRIM(CLEAN(PROPER(B131)))</f>
        <v>David</v>
      </c>
      <c r="L131" s="6" t="str">
        <f>TRIM(CLEAN(PROPER(C131)))</f>
        <v>Anderson</v>
      </c>
      <c r="M131" s="22" t="str">
        <f t="shared" ref="M131:M151" si="6">_xlfn.TEXTJOIN(" ",TRUE,K131,L131)</f>
        <v>David Anderson</v>
      </c>
      <c r="N131" s="22" t="str">
        <f>_xlfn.XLOOKUP(O131,Lookup_Departments!$A$2:$A$7,Lookup_Departments!$B$2:$B$7,"Not Found")</f>
        <v>Human Resources</v>
      </c>
      <c r="O131" s="4" t="str">
        <f>IFERROR(VLOOKUP(D131,Lookup_Departments!$A$2:$B$7,1,FALSE),"Invalid")</f>
        <v>HR01</v>
      </c>
      <c r="P131" s="8">
        <f t="shared" ref="P131:P151" si="7">IF(ISNUMBER(E131),E131,DATE(RIGHT(E131,4),LEFT(E131,2),MID(E131,4,2)))</f>
        <v>42944</v>
      </c>
      <c r="Q131" s="17">
        <f t="shared" ref="Q131:Q151" ca="1" si="8">DATEDIF(P131,TODAY(),"Y")</f>
        <v>8</v>
      </c>
      <c r="R131" s="14">
        <f>IF(F131="",AVERAGEIF($D$2:$D$151,D131,$F$2:$F$151),F131)</f>
        <v>115618</v>
      </c>
      <c r="S131" s="17">
        <f>IF(G131="",AVERAGE($G$2:$G$158),G131)</f>
        <v>35</v>
      </c>
      <c r="T131" s="6" t="str">
        <f>_xlfn.XLOOKUP(S131,Lookup_Performance!$A$2:$A$6,Lookup_Performance!$C$2:$C$6,"Not Found",-1)</f>
        <v>Needs Improvement</v>
      </c>
      <c r="U131" s="24">
        <f>_xlfn.XLOOKUP(S131,Lookup_Performance!$A$2:$A$6,Lookup_Performance!$D$2:$D$6,"Not Found",-1)</f>
        <v>0</v>
      </c>
      <c r="V131" s="6" t="str">
        <f>TRIM(CLEAN(UPPER(H131)))</f>
        <v>ACTIVE</v>
      </c>
    </row>
    <row r="132" spans="1:22" x14ac:dyDescent="0.35">
      <c r="A132" s="4" t="s">
        <v>222</v>
      </c>
      <c r="B132" s="6" t="s">
        <v>90</v>
      </c>
      <c r="C132" s="6" t="s">
        <v>29</v>
      </c>
      <c r="D132" s="6" t="s">
        <v>43</v>
      </c>
      <c r="E132" s="8">
        <v>45235</v>
      </c>
      <c r="F132" s="10">
        <v>110618</v>
      </c>
      <c r="G132">
        <v>95</v>
      </c>
      <c r="H132" t="s">
        <v>265</v>
      </c>
      <c r="J132" s="4" t="str">
        <f>TRIM(CLEAN(A132))</f>
        <v>EMP089</v>
      </c>
      <c r="K132" s="6" t="str">
        <f>TRIM(CLEAN(PROPER(B132)))</f>
        <v>Sarah</v>
      </c>
      <c r="L132" s="6" t="str">
        <f>TRIM(CLEAN(PROPER(C132)))</f>
        <v>Smith</v>
      </c>
      <c r="M132" s="22" t="str">
        <f t="shared" si="6"/>
        <v>Sarah Smith</v>
      </c>
      <c r="N132" s="22" t="str">
        <f>_xlfn.XLOOKUP(O132,Lookup_Departments!$A$2:$A$7,Lookup_Departments!$B$2:$B$7,"Not Found")</f>
        <v>Sales</v>
      </c>
      <c r="O132" s="4" t="str">
        <f>IFERROR(VLOOKUP(D132,Lookup_Departments!$A$2:$B$7,1,FALSE),"Invalid")</f>
        <v>SAL05</v>
      </c>
      <c r="P132" s="8">
        <f t="shared" si="7"/>
        <v>45235</v>
      </c>
      <c r="Q132" s="17">
        <f t="shared" ca="1" si="8"/>
        <v>2</v>
      </c>
      <c r="R132" s="14">
        <f>IF(F132="",AVERAGEIF($D$2:$D$151,D132,$F$2:$F$151),F132)</f>
        <v>110618</v>
      </c>
      <c r="S132" s="17">
        <f>IF(G132="",AVERAGE($G$2:$G$158),G132)</f>
        <v>95</v>
      </c>
      <c r="T132" s="6" t="str">
        <f>_xlfn.XLOOKUP(S132,Lookup_Performance!$A$2:$A$6,Lookup_Performance!$C$2:$C$6,"Not Found",-1)</f>
        <v>Outstanding</v>
      </c>
      <c r="U132" s="24">
        <f>_xlfn.XLOOKUP(S132,Lookup_Performance!$A$2:$A$6,Lookup_Performance!$D$2:$D$6,"Not Found",-1)</f>
        <v>0.12</v>
      </c>
      <c r="V132" s="6" t="str">
        <f>TRIM(CLEAN(UPPER(H132)))</f>
        <v>ACTIVE</v>
      </c>
    </row>
    <row r="133" spans="1:22" x14ac:dyDescent="0.35">
      <c r="A133" s="4" t="s">
        <v>224</v>
      </c>
      <c r="B133" s="6" t="s">
        <v>97</v>
      </c>
      <c r="C133" s="6" t="s">
        <v>15</v>
      </c>
      <c r="D133" s="6" t="s">
        <v>33</v>
      </c>
      <c r="E133" s="8">
        <v>44639</v>
      </c>
      <c r="F133" s="10">
        <v>108395</v>
      </c>
      <c r="G133"/>
      <c r="H133" t="s">
        <v>17</v>
      </c>
      <c r="J133" s="4" t="str">
        <f>TRIM(CLEAN(A133))</f>
        <v>EMP022</v>
      </c>
      <c r="K133" s="6" t="str">
        <f>TRIM(CLEAN(PROPER(B133)))</f>
        <v>Melissa</v>
      </c>
      <c r="L133" s="6" t="str">
        <f>TRIM(CLEAN(PROPER(C133)))</f>
        <v>Hernandez</v>
      </c>
      <c r="M133" s="22" t="str">
        <f t="shared" si="6"/>
        <v>Melissa Hernandez</v>
      </c>
      <c r="N133" s="22" t="str">
        <f>_xlfn.XLOOKUP(O133,Lookup_Departments!$A$2:$A$7,Lookup_Departments!$B$2:$B$7,"Not Found")</f>
        <v>Operations</v>
      </c>
      <c r="O133" s="4" t="str">
        <f>IFERROR(VLOOKUP(D133,Lookup_Departments!$A$2:$B$7,1,FALSE),"Invalid")</f>
        <v>OPS06</v>
      </c>
      <c r="P133" s="8">
        <f t="shared" si="7"/>
        <v>44639</v>
      </c>
      <c r="Q133" s="17">
        <f t="shared" ca="1" si="8"/>
        <v>4</v>
      </c>
      <c r="R133" s="14">
        <f>IF(F133="",AVERAGEIF($D$2:$D$151,D133,$F$2:$F$151),F133)</f>
        <v>108395</v>
      </c>
      <c r="S133" s="17">
        <f>IF(G133="",AVERAGE($G$2:$G$158),G133)</f>
        <v>68.219858156028366</v>
      </c>
      <c r="T133" s="6" t="str">
        <f>_xlfn.XLOOKUP(S133,Lookup_Performance!$A$2:$A$6,Lookup_Performance!$C$2:$C$6,"Not Found",-1)</f>
        <v>Developing</v>
      </c>
      <c r="U133" s="24">
        <f>_xlfn.XLOOKUP(S133,Lookup_Performance!$A$2:$A$6,Lookup_Performance!$D$2:$D$6,"Not Found",-1)</f>
        <v>0.02</v>
      </c>
      <c r="V133" s="6" t="str">
        <f>TRIM(CLEAN(UPPER(H133)))</f>
        <v>ACTIVE</v>
      </c>
    </row>
    <row r="134" spans="1:22" x14ac:dyDescent="0.35">
      <c r="A134" s="4" t="s">
        <v>225</v>
      </c>
      <c r="B134" s="6" t="s">
        <v>97</v>
      </c>
      <c r="C134" s="6" t="s">
        <v>32</v>
      </c>
      <c r="D134" s="6" t="s">
        <v>26</v>
      </c>
      <c r="E134" s="8">
        <v>43091</v>
      </c>
      <c r="F134" s="10">
        <v>88005</v>
      </c>
      <c r="G134">
        <v>90</v>
      </c>
      <c r="H134" t="s">
        <v>22</v>
      </c>
      <c r="J134" s="4" t="str">
        <f>TRIM(CLEAN(A134))</f>
        <v>EMP058</v>
      </c>
      <c r="K134" s="6" t="str">
        <f>TRIM(CLEAN(PROPER(B134)))</f>
        <v>Melissa</v>
      </c>
      <c r="L134" s="6" t="str">
        <f>TRIM(CLEAN(PROPER(C134)))</f>
        <v>Johnson</v>
      </c>
      <c r="M134" s="22" t="str">
        <f t="shared" si="6"/>
        <v>Melissa Johnson</v>
      </c>
      <c r="N134" s="22" t="str">
        <f>_xlfn.XLOOKUP(O134,Lookup_Departments!$A$2:$A$7,Lookup_Departments!$B$2:$B$7,"Not Found")</f>
        <v>Finance</v>
      </c>
      <c r="O134" s="4" t="str">
        <f>IFERROR(VLOOKUP(D134,Lookup_Departments!$A$2:$B$7,1,FALSE),"Invalid")</f>
        <v>FIN03</v>
      </c>
      <c r="P134" s="8">
        <f t="shared" si="7"/>
        <v>43091</v>
      </c>
      <c r="Q134" s="17">
        <f t="shared" ca="1" si="8"/>
        <v>8</v>
      </c>
      <c r="R134" s="14">
        <f>IF(F134="",AVERAGEIF($D$2:$D$151,D134,$F$2:$F$151),F134)</f>
        <v>88005</v>
      </c>
      <c r="S134" s="17">
        <f>IF(G134="",AVERAGE($G$2:$G$158),G134)</f>
        <v>90</v>
      </c>
      <c r="T134" s="6" t="str">
        <f>_xlfn.XLOOKUP(S134,Lookup_Performance!$A$2:$A$6,Lookup_Performance!$C$2:$C$6,"Not Found",-1)</f>
        <v>Exceeding</v>
      </c>
      <c r="U134" s="24">
        <f>_xlfn.XLOOKUP(S134,Lookup_Performance!$A$2:$A$6,Lookup_Performance!$D$2:$D$6,"Not Found",-1)</f>
        <v>0.08</v>
      </c>
      <c r="V134" s="6" t="str">
        <f>TRIM(CLEAN(UPPER(H134)))</f>
        <v>LEFT</v>
      </c>
    </row>
    <row r="135" spans="1:22" x14ac:dyDescent="0.35">
      <c r="A135" s="4" t="s">
        <v>226</v>
      </c>
      <c r="B135" s="6" t="s">
        <v>52</v>
      </c>
      <c r="C135" s="6" t="s">
        <v>122</v>
      </c>
      <c r="D135" s="6" t="s">
        <v>16</v>
      </c>
      <c r="E135" s="8" t="s">
        <v>227</v>
      </c>
      <c r="F135" s="10">
        <v>83007</v>
      </c>
      <c r="G135">
        <v>42</v>
      </c>
      <c r="H135" t="s">
        <v>17</v>
      </c>
      <c r="J135" s="4" t="str">
        <f>TRIM(CLEAN(A135))</f>
        <v>EMP130</v>
      </c>
      <c r="K135" s="6" t="str">
        <f>TRIM(CLEAN(PROPER(B135)))</f>
        <v>Jane</v>
      </c>
      <c r="L135" s="6" t="str">
        <f>TRIM(CLEAN(PROPER(C135)))</f>
        <v>Garcia</v>
      </c>
      <c r="M135" s="22" t="str">
        <f t="shared" si="6"/>
        <v>Jane Garcia</v>
      </c>
      <c r="N135" s="22" t="str">
        <f>_xlfn.XLOOKUP(O135,Lookup_Departments!$A$2:$A$7,Lookup_Departments!$B$2:$B$7,"Not Found")</f>
        <v>Marketing</v>
      </c>
      <c r="O135" s="4" t="str">
        <f>IFERROR(VLOOKUP(D135,Lookup_Departments!$A$2:$B$7,1,FALSE),"Invalid")</f>
        <v>MKT04</v>
      </c>
      <c r="P135" s="8">
        <f t="shared" si="7"/>
        <v>44437</v>
      </c>
      <c r="Q135" s="17">
        <f t="shared" ca="1" si="8"/>
        <v>4</v>
      </c>
      <c r="R135" s="14">
        <f>IF(F135="",AVERAGEIF($D$2:$D$151,D135,$F$2:$F$151),F135)</f>
        <v>83007</v>
      </c>
      <c r="S135" s="17">
        <f>IF(G135="",AVERAGE($G$2:$G$158),G135)</f>
        <v>42</v>
      </c>
      <c r="T135" s="6" t="str">
        <f>_xlfn.XLOOKUP(S135,Lookup_Performance!$A$2:$A$6,Lookup_Performance!$C$2:$C$6,"Not Found",-1)</f>
        <v>Needs Improvement</v>
      </c>
      <c r="U135" s="24">
        <f>_xlfn.XLOOKUP(S135,Lookup_Performance!$A$2:$A$6,Lookup_Performance!$D$2:$D$6,"Not Found",-1)</f>
        <v>0</v>
      </c>
      <c r="V135" s="6" t="str">
        <f>TRIM(CLEAN(UPPER(H135)))</f>
        <v>ACTIVE</v>
      </c>
    </row>
    <row r="136" spans="1:22" x14ac:dyDescent="0.35">
      <c r="A136" s="4" t="s">
        <v>228</v>
      </c>
      <c r="B136" s="6" t="s">
        <v>104</v>
      </c>
      <c r="C136" s="6" t="s">
        <v>62</v>
      </c>
      <c r="D136" s="6" t="s">
        <v>11</v>
      </c>
      <c r="E136" s="8">
        <v>43360</v>
      </c>
      <c r="F136" s="10">
        <v>61547</v>
      </c>
      <c r="G136">
        <v>88</v>
      </c>
      <c r="H136" t="s">
        <v>107</v>
      </c>
      <c r="J136" s="4" t="str">
        <f>TRIM(CLEAN(A136))</f>
        <v>EMP038</v>
      </c>
      <c r="K136" s="6" t="str">
        <f>TRIM(CLEAN(PROPER(B136)))</f>
        <v>David</v>
      </c>
      <c r="L136" s="6" t="str">
        <f>TRIM(CLEAN(PROPER(C136)))</f>
        <v>Davis</v>
      </c>
      <c r="M136" s="22" t="str">
        <f t="shared" si="6"/>
        <v>David Davis</v>
      </c>
      <c r="N136" s="22" t="str">
        <f>_xlfn.XLOOKUP(O136,Lookup_Departments!$A$2:$A$7,Lookup_Departments!$B$2:$B$7,"Not Found")</f>
        <v>Information Technology</v>
      </c>
      <c r="O136" s="4" t="str">
        <f>IFERROR(VLOOKUP(D136,Lookup_Departments!$A$2:$B$7,1,FALSE),"Invalid")</f>
        <v>IT02</v>
      </c>
      <c r="P136" s="8">
        <f t="shared" si="7"/>
        <v>43360</v>
      </c>
      <c r="Q136" s="17">
        <f t="shared" ca="1" si="8"/>
        <v>7</v>
      </c>
      <c r="R136" s="14">
        <f>IF(F136="",AVERAGEIF($D$2:$D$151,D136,$F$2:$F$151),F136)</f>
        <v>61547</v>
      </c>
      <c r="S136" s="17">
        <f>IF(G136="",AVERAGE($G$2:$G$158),G136)</f>
        <v>88</v>
      </c>
      <c r="T136" s="6" t="str">
        <f>_xlfn.XLOOKUP(S136,Lookup_Performance!$A$2:$A$6,Lookup_Performance!$C$2:$C$6,"Not Found",-1)</f>
        <v>Exceeding</v>
      </c>
      <c r="U136" s="24">
        <f>_xlfn.XLOOKUP(S136,Lookup_Performance!$A$2:$A$6,Lookup_Performance!$D$2:$D$6,"Not Found",-1)</f>
        <v>0.08</v>
      </c>
      <c r="V136" s="6" t="str">
        <f>TRIM(CLEAN(UPPER(H136)))</f>
        <v>RESIGNED</v>
      </c>
    </row>
    <row r="137" spans="1:22" x14ac:dyDescent="0.35">
      <c r="A137" s="4" t="s">
        <v>230</v>
      </c>
      <c r="B137" s="6" t="s">
        <v>64</v>
      </c>
      <c r="C137" s="6" t="s">
        <v>35</v>
      </c>
      <c r="D137" s="6" t="s">
        <v>43</v>
      </c>
      <c r="E137" s="8">
        <v>44375</v>
      </c>
      <c r="G137">
        <v>78</v>
      </c>
      <c r="H137" t="s">
        <v>30</v>
      </c>
      <c r="J137" s="4" t="str">
        <f>TRIM(CLEAN(A137))</f>
        <v>EMP148</v>
      </c>
      <c r="K137" s="6" t="str">
        <f>TRIM(CLEAN(PROPER(B137)))</f>
        <v>James</v>
      </c>
      <c r="L137" s="6" t="str">
        <f>TRIM(CLEAN(PROPER(C137)))</f>
        <v>Wilson</v>
      </c>
      <c r="M137" s="22" t="str">
        <f t="shared" si="6"/>
        <v>James Wilson</v>
      </c>
      <c r="N137" s="22" t="str">
        <f>_xlfn.XLOOKUP(O137,Lookup_Departments!$A$2:$A$7,Lookup_Departments!$B$2:$B$7,"Not Found")</f>
        <v>Sales</v>
      </c>
      <c r="O137" s="4" t="str">
        <f>IFERROR(VLOOKUP(D137,Lookup_Departments!$A$2:$B$7,1,FALSE),"Invalid")</f>
        <v>SAL05</v>
      </c>
      <c r="P137" s="8">
        <f t="shared" si="7"/>
        <v>44375</v>
      </c>
      <c r="Q137" s="17">
        <f t="shared" ca="1" si="8"/>
        <v>5</v>
      </c>
      <c r="R137" s="14">
        <f>IF(F137="",AVERAGEIF($D$2:$D$151,D137,$F$2:$F$151),F137)</f>
        <v>87282.34782608696</v>
      </c>
      <c r="S137" s="17">
        <f>IF(G137="",AVERAGE($G$2:$G$158),G137)</f>
        <v>78</v>
      </c>
      <c r="T137" s="6" t="str">
        <f>_xlfn.XLOOKUP(S137,Lookup_Performance!$A$2:$A$6,Lookup_Performance!$C$2:$C$6,"Not Found",-1)</f>
        <v>Achieving</v>
      </c>
      <c r="U137" s="24">
        <f>_xlfn.XLOOKUP(S137,Lookup_Performance!$A$2:$A$6,Lookup_Performance!$D$2:$D$6,"Not Found",-1)</f>
        <v>0.05</v>
      </c>
      <c r="V137" s="6" t="str">
        <f>TRIM(CLEAN(UPPER(H137)))</f>
        <v>LEFT</v>
      </c>
    </row>
    <row r="138" spans="1:22" x14ac:dyDescent="0.35">
      <c r="A138" s="4" t="s">
        <v>231</v>
      </c>
      <c r="B138" s="6" t="s">
        <v>14</v>
      </c>
      <c r="C138" s="6" t="s">
        <v>32</v>
      </c>
      <c r="D138" s="6" t="s">
        <v>33</v>
      </c>
      <c r="E138" s="8">
        <v>43011</v>
      </c>
      <c r="F138" s="10">
        <v>50399</v>
      </c>
      <c r="G138">
        <v>69</v>
      </c>
      <c r="H138" t="s">
        <v>265</v>
      </c>
      <c r="J138" s="4" t="str">
        <f>TRIM(CLEAN(A138))</f>
        <v>EMP002</v>
      </c>
      <c r="K138" s="6" t="str">
        <f>TRIM(CLEAN(PROPER(B138)))</f>
        <v>Richard</v>
      </c>
      <c r="L138" s="6" t="str">
        <f>TRIM(CLEAN(PROPER(C138)))</f>
        <v>Johnson</v>
      </c>
      <c r="M138" s="22" t="str">
        <f t="shared" si="6"/>
        <v>Richard Johnson</v>
      </c>
      <c r="N138" s="22" t="str">
        <f>_xlfn.XLOOKUP(O138,Lookup_Departments!$A$2:$A$7,Lookup_Departments!$B$2:$B$7,"Not Found")</f>
        <v>Operations</v>
      </c>
      <c r="O138" s="4" t="str">
        <f>IFERROR(VLOOKUP(D138,Lookup_Departments!$A$2:$B$7,1,FALSE),"Invalid")</f>
        <v>OPS06</v>
      </c>
      <c r="P138" s="8">
        <f t="shared" si="7"/>
        <v>43011</v>
      </c>
      <c r="Q138" s="17">
        <f t="shared" ca="1" si="8"/>
        <v>8</v>
      </c>
      <c r="R138" s="14">
        <f>IF(F138="",AVERAGEIF($D$2:$D$151,D138,$F$2:$F$151),F138)</f>
        <v>50399</v>
      </c>
      <c r="S138" s="17">
        <f>IF(G138="",AVERAGE($G$2:$G$158),G138)</f>
        <v>69</v>
      </c>
      <c r="T138" s="6" t="str">
        <f>_xlfn.XLOOKUP(S138,Lookup_Performance!$A$2:$A$6,Lookup_Performance!$C$2:$C$6,"Not Found",-1)</f>
        <v>Developing</v>
      </c>
      <c r="U138" s="24">
        <f>_xlfn.XLOOKUP(S138,Lookup_Performance!$A$2:$A$6,Lookup_Performance!$D$2:$D$6,"Not Found",-1)</f>
        <v>0.02</v>
      </c>
      <c r="V138" s="6" t="str">
        <f>TRIM(CLEAN(UPPER(H138)))</f>
        <v>ACTIVE</v>
      </c>
    </row>
    <row r="139" spans="1:22" x14ac:dyDescent="0.35">
      <c r="A139" s="4" t="s">
        <v>232</v>
      </c>
      <c r="B139" s="6" t="s">
        <v>14</v>
      </c>
      <c r="C139" s="6" t="s">
        <v>53</v>
      </c>
      <c r="D139" s="6" t="s">
        <v>26</v>
      </c>
      <c r="E139" s="8" t="s">
        <v>233</v>
      </c>
      <c r="G139">
        <v>66</v>
      </c>
      <c r="H139" t="s">
        <v>12</v>
      </c>
      <c r="J139" s="4" t="str">
        <f>TRIM(CLEAN(A139))</f>
        <v>EMP053</v>
      </c>
      <c r="K139" s="6" t="str">
        <f>TRIM(CLEAN(PROPER(B139)))</f>
        <v>Richard</v>
      </c>
      <c r="L139" s="6" t="str">
        <f>TRIM(CLEAN(PROPER(C139)))</f>
        <v>Williams</v>
      </c>
      <c r="M139" s="22" t="str">
        <f t="shared" si="6"/>
        <v>Richard Williams</v>
      </c>
      <c r="N139" s="22" t="str">
        <f>_xlfn.XLOOKUP(O139,Lookup_Departments!$A$2:$A$7,Lookup_Departments!$B$2:$B$7,"Not Found")</f>
        <v>Finance</v>
      </c>
      <c r="O139" s="4" t="str">
        <f>IFERROR(VLOOKUP(D139,Lookup_Departments!$A$2:$B$7,1,FALSE),"Invalid")</f>
        <v>FIN03</v>
      </c>
      <c r="P139" s="8">
        <f t="shared" si="7"/>
        <v>42299</v>
      </c>
      <c r="Q139" s="17">
        <f t="shared" ca="1" si="8"/>
        <v>10</v>
      </c>
      <c r="R139" s="14">
        <f>IF(F139="",AVERAGEIF($D$2:$D$151,D139,$F$2:$F$151),F139)</f>
        <v>87938.5</v>
      </c>
      <c r="S139" s="17">
        <f>IF(G139="",AVERAGE($G$2:$G$158),G139)</f>
        <v>66</v>
      </c>
      <c r="T139" s="6" t="str">
        <f>_xlfn.XLOOKUP(S139,Lookup_Performance!$A$2:$A$6,Lookup_Performance!$C$2:$C$6,"Not Found",-1)</f>
        <v>Developing</v>
      </c>
      <c r="U139" s="24">
        <f>_xlfn.XLOOKUP(S139,Lookup_Performance!$A$2:$A$6,Lookup_Performance!$D$2:$D$6,"Not Found",-1)</f>
        <v>0.02</v>
      </c>
      <c r="V139" s="6" t="str">
        <f>TRIM(CLEAN(UPPER(H139)))</f>
        <v>ACTIVE</v>
      </c>
    </row>
    <row r="140" spans="1:22" x14ac:dyDescent="0.35">
      <c r="A140" s="4" t="s">
        <v>234</v>
      </c>
      <c r="B140" s="6" t="s">
        <v>24</v>
      </c>
      <c r="C140" s="6" t="s">
        <v>15</v>
      </c>
      <c r="D140" s="6" t="s">
        <v>33</v>
      </c>
      <c r="E140" s="8">
        <v>43257</v>
      </c>
      <c r="F140" s="10">
        <v>52720</v>
      </c>
      <c r="G140">
        <v>82</v>
      </c>
      <c r="H140" t="s">
        <v>44</v>
      </c>
      <c r="J140" s="4" t="str">
        <f>TRIM(CLEAN(A140))</f>
        <v>EMP131</v>
      </c>
      <c r="K140" s="6" t="str">
        <f>TRIM(CLEAN(PROPER(B140)))</f>
        <v>John</v>
      </c>
      <c r="L140" s="6" t="str">
        <f>TRIM(CLEAN(PROPER(C140)))</f>
        <v>Hernandez</v>
      </c>
      <c r="M140" s="22" t="str">
        <f t="shared" si="6"/>
        <v>John Hernandez</v>
      </c>
      <c r="N140" s="22" t="str">
        <f>_xlfn.XLOOKUP(O140,Lookup_Departments!$A$2:$A$7,Lookup_Departments!$B$2:$B$7,"Not Found")</f>
        <v>Operations</v>
      </c>
      <c r="O140" s="4" t="str">
        <f>IFERROR(VLOOKUP(D140,Lookup_Departments!$A$2:$B$7,1,FALSE),"Invalid")</f>
        <v>OPS06</v>
      </c>
      <c r="P140" s="8">
        <f t="shared" si="7"/>
        <v>43257</v>
      </c>
      <c r="Q140" s="17">
        <f t="shared" ca="1" si="8"/>
        <v>8</v>
      </c>
      <c r="R140" s="14">
        <f>IF(F140="",AVERAGEIF($D$2:$D$151,D140,$F$2:$F$151),F140)</f>
        <v>52720</v>
      </c>
      <c r="S140" s="17">
        <f>IF(G140="",AVERAGE($G$2:$G$158),G140)</f>
        <v>82</v>
      </c>
      <c r="T140" s="6" t="str">
        <f>_xlfn.XLOOKUP(S140,Lookup_Performance!$A$2:$A$6,Lookup_Performance!$C$2:$C$6,"Not Found",-1)</f>
        <v>Achieving</v>
      </c>
      <c r="U140" s="24">
        <f>_xlfn.XLOOKUP(S140,Lookup_Performance!$A$2:$A$6,Lookup_Performance!$D$2:$D$6,"Not Found",-1)</f>
        <v>0.05</v>
      </c>
      <c r="V140" s="6" t="str">
        <f>TRIM(CLEAN(UPPER(H140)))</f>
        <v>ACTIVE</v>
      </c>
    </row>
    <row r="141" spans="1:22" x14ac:dyDescent="0.35">
      <c r="A141" s="4" t="s">
        <v>235</v>
      </c>
      <c r="B141" s="6" t="s">
        <v>90</v>
      </c>
      <c r="C141" s="6" t="s">
        <v>19</v>
      </c>
      <c r="D141" s="6" t="s">
        <v>33</v>
      </c>
      <c r="E141" s="8">
        <v>42932</v>
      </c>
      <c r="F141" s="10">
        <v>65065</v>
      </c>
      <c r="G141">
        <v>68</v>
      </c>
      <c r="H141" t="s">
        <v>17</v>
      </c>
      <c r="J141" s="4" t="str">
        <f>TRIM(CLEAN(A141))</f>
        <v>EMP104</v>
      </c>
      <c r="K141" s="6" t="str">
        <f>TRIM(CLEAN(PROPER(B141)))</f>
        <v>Sarah</v>
      </c>
      <c r="L141" s="6" t="str">
        <f>TRIM(CLEAN(PROPER(C141)))</f>
        <v>Gonzalez</v>
      </c>
      <c r="M141" s="22" t="str">
        <f t="shared" si="6"/>
        <v>Sarah Gonzalez</v>
      </c>
      <c r="N141" s="22" t="str">
        <f>_xlfn.XLOOKUP(O141,Lookup_Departments!$A$2:$A$7,Lookup_Departments!$B$2:$B$7,"Not Found")</f>
        <v>Operations</v>
      </c>
      <c r="O141" s="4" t="str">
        <f>IFERROR(VLOOKUP(D141,Lookup_Departments!$A$2:$B$7,1,FALSE),"Invalid")</f>
        <v>OPS06</v>
      </c>
      <c r="P141" s="8">
        <f t="shared" si="7"/>
        <v>42932</v>
      </c>
      <c r="Q141" s="17">
        <f t="shared" ca="1" si="8"/>
        <v>8</v>
      </c>
      <c r="R141" s="14">
        <f>IF(F141="",AVERAGEIF($D$2:$D$151,D141,$F$2:$F$151),F141)</f>
        <v>65065</v>
      </c>
      <c r="S141" s="17">
        <f>IF(G141="",AVERAGE($G$2:$G$158),G141)</f>
        <v>68</v>
      </c>
      <c r="T141" s="6" t="str">
        <f>_xlfn.XLOOKUP(S141,Lookup_Performance!$A$2:$A$6,Lookup_Performance!$C$2:$C$6,"Not Found",-1)</f>
        <v>Developing</v>
      </c>
      <c r="U141" s="24">
        <f>_xlfn.XLOOKUP(S141,Lookup_Performance!$A$2:$A$6,Lookup_Performance!$D$2:$D$6,"Not Found",-1)</f>
        <v>0.02</v>
      </c>
      <c r="V141" s="6" t="str">
        <f>TRIM(CLEAN(UPPER(H141)))</f>
        <v>ACTIVE</v>
      </c>
    </row>
    <row r="142" spans="1:22" x14ac:dyDescent="0.35">
      <c r="A142" s="4" t="s">
        <v>236</v>
      </c>
      <c r="B142" s="6" t="s">
        <v>97</v>
      </c>
      <c r="C142" s="6" t="s">
        <v>15</v>
      </c>
      <c r="D142" s="6" t="s">
        <v>43</v>
      </c>
      <c r="E142" s="8">
        <v>42175</v>
      </c>
      <c r="G142">
        <v>52</v>
      </c>
      <c r="H142" t="s">
        <v>44</v>
      </c>
      <c r="J142" s="4" t="str">
        <f>TRIM(CLEAN(A142))</f>
        <v>EMP100</v>
      </c>
      <c r="K142" s="6" t="str">
        <f>TRIM(CLEAN(PROPER(B142)))</f>
        <v>Melissa</v>
      </c>
      <c r="L142" s="6" t="str">
        <f>TRIM(CLEAN(PROPER(C142)))</f>
        <v>Hernandez</v>
      </c>
      <c r="M142" s="22" t="str">
        <f t="shared" si="6"/>
        <v>Melissa Hernandez</v>
      </c>
      <c r="N142" s="22" t="str">
        <f>_xlfn.XLOOKUP(O142,Lookup_Departments!$A$2:$A$7,Lookup_Departments!$B$2:$B$7,"Not Found")</f>
        <v>Sales</v>
      </c>
      <c r="O142" s="4" t="str">
        <f>IFERROR(VLOOKUP(D142,Lookup_Departments!$A$2:$B$7,1,FALSE),"Invalid")</f>
        <v>SAL05</v>
      </c>
      <c r="P142" s="8">
        <f t="shared" si="7"/>
        <v>42175</v>
      </c>
      <c r="Q142" s="17">
        <f t="shared" ca="1" si="8"/>
        <v>11</v>
      </c>
      <c r="R142" s="14">
        <f>IF(F142="",AVERAGEIF($D$2:$D$151,D142,$F$2:$F$151),F142)</f>
        <v>87282.34782608696</v>
      </c>
      <c r="S142" s="17">
        <f>IF(G142="",AVERAGE($G$2:$G$158),G142)</f>
        <v>52</v>
      </c>
      <c r="T142" s="6" t="str">
        <f>_xlfn.XLOOKUP(S142,Lookup_Performance!$A$2:$A$6,Lookup_Performance!$C$2:$C$6,"Not Found",-1)</f>
        <v>Developing</v>
      </c>
      <c r="U142" s="24">
        <f>_xlfn.XLOOKUP(S142,Lookup_Performance!$A$2:$A$6,Lookup_Performance!$D$2:$D$6,"Not Found",-1)</f>
        <v>0.02</v>
      </c>
      <c r="V142" s="6" t="str">
        <f>TRIM(CLEAN(UPPER(H142)))</f>
        <v>ACTIVE</v>
      </c>
    </row>
    <row r="143" spans="1:22" x14ac:dyDescent="0.35">
      <c r="A143" s="4" t="s">
        <v>237</v>
      </c>
      <c r="B143" s="6" t="s">
        <v>97</v>
      </c>
      <c r="C143" s="6" t="s">
        <v>15</v>
      </c>
      <c r="D143" s="6" t="s">
        <v>33</v>
      </c>
      <c r="E143" s="8">
        <v>43609</v>
      </c>
      <c r="F143" s="10">
        <v>108119</v>
      </c>
      <c r="G143">
        <v>92</v>
      </c>
      <c r="H143" t="s">
        <v>100</v>
      </c>
      <c r="J143" s="4" t="str">
        <f>TRIM(CLEAN(A143))</f>
        <v>EMP117</v>
      </c>
      <c r="K143" s="6" t="str">
        <f>TRIM(CLEAN(PROPER(B143)))</f>
        <v>Melissa</v>
      </c>
      <c r="L143" s="6" t="str">
        <f>TRIM(CLEAN(PROPER(C143)))</f>
        <v>Hernandez</v>
      </c>
      <c r="M143" s="22" t="str">
        <f t="shared" si="6"/>
        <v>Melissa Hernandez</v>
      </c>
      <c r="N143" s="22" t="str">
        <f>_xlfn.XLOOKUP(O143,Lookup_Departments!$A$2:$A$7,Lookup_Departments!$B$2:$B$7,"Not Found")</f>
        <v>Operations</v>
      </c>
      <c r="O143" s="4" t="str">
        <f>IFERROR(VLOOKUP(D143,Lookup_Departments!$A$2:$B$7,1,FALSE),"Invalid")</f>
        <v>OPS06</v>
      </c>
      <c r="P143" s="8">
        <f t="shared" si="7"/>
        <v>43609</v>
      </c>
      <c r="Q143" s="17">
        <f t="shared" ca="1" si="8"/>
        <v>7</v>
      </c>
      <c r="R143" s="14">
        <f>IF(F143="",AVERAGEIF($D$2:$D$151,D143,$F$2:$F$151),F143)</f>
        <v>108119</v>
      </c>
      <c r="S143" s="17">
        <f>IF(G143="",AVERAGE($G$2:$G$158),G143)</f>
        <v>92</v>
      </c>
      <c r="T143" s="6" t="str">
        <f>_xlfn.XLOOKUP(S143,Lookup_Performance!$A$2:$A$6,Lookup_Performance!$C$2:$C$6,"Not Found",-1)</f>
        <v>Exceeding</v>
      </c>
      <c r="U143" s="24">
        <f>_xlfn.XLOOKUP(S143,Lookup_Performance!$A$2:$A$6,Lookup_Performance!$D$2:$D$6,"Not Found",-1)</f>
        <v>0.08</v>
      </c>
      <c r="V143" s="6" t="str">
        <f>TRIM(CLEAN(UPPER(H143)))</f>
        <v>LEFT</v>
      </c>
    </row>
    <row r="144" spans="1:22" x14ac:dyDescent="0.35">
      <c r="A144" s="4" t="s">
        <v>239</v>
      </c>
      <c r="B144" s="6" t="s">
        <v>24</v>
      </c>
      <c r="C144" s="6" t="s">
        <v>62</v>
      </c>
      <c r="D144" s="6" t="s">
        <v>11</v>
      </c>
      <c r="E144" s="8">
        <v>43887</v>
      </c>
      <c r="G144">
        <v>62</v>
      </c>
      <c r="H144" t="s">
        <v>17</v>
      </c>
      <c r="J144" s="4" t="str">
        <f>TRIM(CLEAN(A144))</f>
        <v>EMP088</v>
      </c>
      <c r="K144" s="6" t="str">
        <f>TRIM(CLEAN(PROPER(B144)))</f>
        <v>John</v>
      </c>
      <c r="L144" s="6" t="str">
        <f>TRIM(CLEAN(PROPER(C144)))</f>
        <v>Davis</v>
      </c>
      <c r="M144" s="22" t="str">
        <f t="shared" si="6"/>
        <v>John Davis</v>
      </c>
      <c r="N144" s="22" t="str">
        <f>_xlfn.XLOOKUP(O144,Lookup_Departments!$A$2:$A$7,Lookup_Departments!$B$2:$B$7,"Not Found")</f>
        <v>Information Technology</v>
      </c>
      <c r="O144" s="4" t="str">
        <f>IFERROR(VLOOKUP(D144,Lookup_Departments!$A$2:$B$7,1,FALSE),"Invalid")</f>
        <v>IT02</v>
      </c>
      <c r="P144" s="8">
        <f t="shared" si="7"/>
        <v>43887</v>
      </c>
      <c r="Q144" s="17">
        <f t="shared" ca="1" si="8"/>
        <v>6</v>
      </c>
      <c r="R144" s="14">
        <f>IF(F144="",AVERAGEIF($D$2:$D$151,D144,$F$2:$F$151),F144)</f>
        <v>80014.258064516136</v>
      </c>
      <c r="S144" s="17">
        <f>IF(G144="",AVERAGE($G$2:$G$158),G144)</f>
        <v>62</v>
      </c>
      <c r="T144" s="6" t="str">
        <f>_xlfn.XLOOKUP(S144,Lookup_Performance!$A$2:$A$6,Lookup_Performance!$C$2:$C$6,"Not Found",-1)</f>
        <v>Developing</v>
      </c>
      <c r="U144" s="24">
        <f>_xlfn.XLOOKUP(S144,Lookup_Performance!$A$2:$A$6,Lookup_Performance!$D$2:$D$6,"Not Found",-1)</f>
        <v>0.02</v>
      </c>
      <c r="V144" s="6" t="str">
        <f>TRIM(CLEAN(UPPER(H144)))</f>
        <v>ACTIVE</v>
      </c>
    </row>
    <row r="145" spans="1:22" x14ac:dyDescent="0.35">
      <c r="A145" s="4" t="s">
        <v>240</v>
      </c>
      <c r="B145" s="6" t="s">
        <v>14</v>
      </c>
      <c r="C145" s="6" t="s">
        <v>62</v>
      </c>
      <c r="D145" s="6" t="s">
        <v>92</v>
      </c>
      <c r="E145" s="8">
        <v>44991</v>
      </c>
      <c r="F145" s="10">
        <v>106896</v>
      </c>
      <c r="G145">
        <v>68</v>
      </c>
      <c r="H145" t="s">
        <v>17</v>
      </c>
      <c r="J145" s="4" t="str">
        <f>TRIM(CLEAN(A145))</f>
        <v>EMP075</v>
      </c>
      <c r="K145" s="6" t="str">
        <f>TRIM(CLEAN(PROPER(B145)))</f>
        <v>Richard</v>
      </c>
      <c r="L145" s="6" t="str">
        <f>TRIM(CLEAN(PROPER(C145)))</f>
        <v>Davis</v>
      </c>
      <c r="M145" s="22" t="str">
        <f t="shared" si="6"/>
        <v>Richard Davis</v>
      </c>
      <c r="N145" s="22" t="str">
        <f>_xlfn.XLOOKUP(O145,Lookup_Departments!$A$2:$A$7,Lookup_Departments!$B$2:$B$7,"Not Found")</f>
        <v>Human Resources</v>
      </c>
      <c r="O145" s="4" t="str">
        <f>IFERROR(VLOOKUP(D145,Lookup_Departments!$A$2:$B$7,1,FALSE),"Invalid")</f>
        <v>HR01</v>
      </c>
      <c r="P145" s="8">
        <f t="shared" si="7"/>
        <v>44991</v>
      </c>
      <c r="Q145" s="17">
        <f t="shared" ca="1" si="8"/>
        <v>3</v>
      </c>
      <c r="R145" s="14">
        <f>IF(F145="",AVERAGEIF($D$2:$D$151,D145,$F$2:$F$151),F145)</f>
        <v>106896</v>
      </c>
      <c r="S145" s="17">
        <f>IF(G145="",AVERAGE($G$2:$G$158),G145)</f>
        <v>68</v>
      </c>
      <c r="T145" s="6" t="str">
        <f>_xlfn.XLOOKUP(S145,Lookup_Performance!$A$2:$A$6,Lookup_Performance!$C$2:$C$6,"Not Found",-1)</f>
        <v>Developing</v>
      </c>
      <c r="U145" s="24">
        <f>_xlfn.XLOOKUP(S145,Lookup_Performance!$A$2:$A$6,Lookup_Performance!$D$2:$D$6,"Not Found",-1)</f>
        <v>0.02</v>
      </c>
      <c r="V145" s="6" t="str">
        <f>TRIM(CLEAN(UPPER(H145)))</f>
        <v>ACTIVE</v>
      </c>
    </row>
    <row r="146" spans="1:22" x14ac:dyDescent="0.35">
      <c r="A146" s="4" t="s">
        <v>241</v>
      </c>
      <c r="B146" s="6" t="s">
        <v>268</v>
      </c>
      <c r="C146" s="6" t="s">
        <v>58</v>
      </c>
      <c r="D146" s="6" t="s">
        <v>11</v>
      </c>
      <c r="E146" s="8">
        <v>43800</v>
      </c>
      <c r="F146" s="10">
        <v>112887</v>
      </c>
      <c r="G146">
        <v>98</v>
      </c>
      <c r="H146" t="s">
        <v>44</v>
      </c>
      <c r="J146" s="4" t="str">
        <f>TRIM(CLEAN(A146))</f>
        <v>EMP122</v>
      </c>
      <c r="K146" s="6" t="str">
        <f>TRIM(CLEAN(PROPER(B146)))</f>
        <v>Unknown</v>
      </c>
      <c r="L146" s="6" t="str">
        <f>TRIM(CLEAN(PROPER(C146)))</f>
        <v>Jones</v>
      </c>
      <c r="M146" s="22" t="str">
        <f t="shared" si="6"/>
        <v>Unknown Jones</v>
      </c>
      <c r="N146" s="22" t="str">
        <f>_xlfn.XLOOKUP(O146,Lookup_Departments!$A$2:$A$7,Lookup_Departments!$B$2:$B$7,"Not Found")</f>
        <v>Information Technology</v>
      </c>
      <c r="O146" s="4" t="str">
        <f>IFERROR(VLOOKUP(D146,Lookup_Departments!$A$2:$B$7,1,FALSE),"Invalid")</f>
        <v>IT02</v>
      </c>
      <c r="P146" s="8">
        <f t="shared" si="7"/>
        <v>43800</v>
      </c>
      <c r="Q146" s="17">
        <f t="shared" ca="1" si="8"/>
        <v>6</v>
      </c>
      <c r="R146" s="14">
        <f>IF(F146="",AVERAGEIF($D$2:$D$151,D146,$F$2:$F$151),F146)</f>
        <v>112887</v>
      </c>
      <c r="S146" s="17">
        <f>IF(G146="",AVERAGE($G$2:$G$158),G146)</f>
        <v>98</v>
      </c>
      <c r="T146" s="6" t="str">
        <f>_xlfn.XLOOKUP(S146,Lookup_Performance!$A$2:$A$6,Lookup_Performance!$C$2:$C$6,"Not Found",-1)</f>
        <v>Outstanding</v>
      </c>
      <c r="U146" s="24">
        <f>_xlfn.XLOOKUP(S146,Lookup_Performance!$A$2:$A$6,Lookup_Performance!$D$2:$D$6,"Not Found",-1)</f>
        <v>0.12</v>
      </c>
      <c r="V146" s="6" t="str">
        <f>TRIM(CLEAN(UPPER(H146)))</f>
        <v>ACTIVE</v>
      </c>
    </row>
    <row r="147" spans="1:22" x14ac:dyDescent="0.35">
      <c r="A147" s="4" t="s">
        <v>242</v>
      </c>
      <c r="B147" s="6" t="s">
        <v>145</v>
      </c>
      <c r="C147" s="6" t="s">
        <v>40</v>
      </c>
      <c r="D147" s="6" t="s">
        <v>26</v>
      </c>
      <c r="E147" s="8">
        <v>45037</v>
      </c>
      <c r="F147" s="10">
        <v>85457</v>
      </c>
      <c r="G147">
        <v>94</v>
      </c>
      <c r="H147" t="s">
        <v>107</v>
      </c>
      <c r="J147" s="4" t="str">
        <f>TRIM(CLEAN(A147))</f>
        <v>EMP021</v>
      </c>
      <c r="K147" s="6" t="str">
        <f>TRIM(CLEAN(PROPER(B147)))</f>
        <v>William</v>
      </c>
      <c r="L147" s="6" t="str">
        <f>TRIM(CLEAN(PROPER(C147)))</f>
        <v>Rodriguez</v>
      </c>
      <c r="M147" s="22" t="str">
        <f t="shared" si="6"/>
        <v>William Rodriguez</v>
      </c>
      <c r="N147" s="22" t="str">
        <f>_xlfn.XLOOKUP(O147,Lookup_Departments!$A$2:$A$7,Lookup_Departments!$B$2:$B$7,"Not Found")</f>
        <v>Finance</v>
      </c>
      <c r="O147" s="4" t="str">
        <f>IFERROR(VLOOKUP(D147,Lookup_Departments!$A$2:$B$7,1,FALSE),"Invalid")</f>
        <v>FIN03</v>
      </c>
      <c r="P147" s="8">
        <f t="shared" si="7"/>
        <v>45037</v>
      </c>
      <c r="Q147" s="17">
        <f t="shared" ca="1" si="8"/>
        <v>3</v>
      </c>
      <c r="R147" s="14">
        <f>IF(F147="",AVERAGEIF($D$2:$D$151,D147,$F$2:$F$151),F147)</f>
        <v>85457</v>
      </c>
      <c r="S147" s="17">
        <f>IF(G147="",AVERAGE($G$2:$G$158),G147)</f>
        <v>94</v>
      </c>
      <c r="T147" s="6" t="str">
        <f>_xlfn.XLOOKUP(S147,Lookup_Performance!$A$2:$A$6,Lookup_Performance!$C$2:$C$6,"Not Found",-1)</f>
        <v>Exceeding</v>
      </c>
      <c r="U147" s="24">
        <f>_xlfn.XLOOKUP(S147,Lookup_Performance!$A$2:$A$6,Lookup_Performance!$D$2:$D$6,"Not Found",-1)</f>
        <v>0.08</v>
      </c>
      <c r="V147" s="6" t="str">
        <f>TRIM(CLEAN(UPPER(H147)))</f>
        <v>RESIGNED</v>
      </c>
    </row>
    <row r="148" spans="1:22" x14ac:dyDescent="0.35">
      <c r="A148" s="4" t="s">
        <v>243</v>
      </c>
      <c r="B148" s="6" t="s">
        <v>97</v>
      </c>
      <c r="C148" s="6" t="s">
        <v>46</v>
      </c>
      <c r="D148" s="6" t="s">
        <v>43</v>
      </c>
      <c r="E148" s="8">
        <v>42519</v>
      </c>
      <c r="F148" s="10">
        <v>62798</v>
      </c>
      <c r="G148">
        <v>57</v>
      </c>
      <c r="H148" t="s">
        <v>107</v>
      </c>
      <c r="J148" s="4" t="str">
        <f>TRIM(CLEAN(A148))</f>
        <v>EMP072</v>
      </c>
      <c r="K148" s="6" t="str">
        <f>TRIM(CLEAN(PROPER(B148)))</f>
        <v>Melissa</v>
      </c>
      <c r="L148" s="6" t="str">
        <f>TRIM(CLEAN(PROPER(C148)))</f>
        <v>Miller</v>
      </c>
      <c r="M148" s="22" t="str">
        <f t="shared" si="6"/>
        <v>Melissa Miller</v>
      </c>
      <c r="N148" s="22" t="str">
        <f>_xlfn.XLOOKUP(O148,Lookup_Departments!$A$2:$A$7,Lookup_Departments!$B$2:$B$7,"Not Found")</f>
        <v>Sales</v>
      </c>
      <c r="O148" s="4" t="str">
        <f>IFERROR(VLOOKUP(D148,Lookup_Departments!$A$2:$B$7,1,FALSE),"Invalid")</f>
        <v>SAL05</v>
      </c>
      <c r="P148" s="8">
        <f t="shared" si="7"/>
        <v>42519</v>
      </c>
      <c r="Q148" s="17">
        <f t="shared" ca="1" si="8"/>
        <v>10</v>
      </c>
      <c r="R148" s="14">
        <f>IF(F148="",AVERAGEIF($D$2:$D$151,D148,$F$2:$F$151),F148)</f>
        <v>62798</v>
      </c>
      <c r="S148" s="17">
        <f>IF(G148="",AVERAGE($G$2:$G$158),G148)</f>
        <v>57</v>
      </c>
      <c r="T148" s="6" t="str">
        <f>_xlfn.XLOOKUP(S148,Lookup_Performance!$A$2:$A$6,Lookup_Performance!$C$2:$C$6,"Not Found",-1)</f>
        <v>Developing</v>
      </c>
      <c r="U148" s="24">
        <f>_xlfn.XLOOKUP(S148,Lookup_Performance!$A$2:$A$6,Lookup_Performance!$D$2:$D$6,"Not Found",-1)</f>
        <v>0.02</v>
      </c>
      <c r="V148" s="6" t="str">
        <f>TRIM(CLEAN(UPPER(H148)))</f>
        <v>RESIGNED</v>
      </c>
    </row>
    <row r="149" spans="1:22" x14ac:dyDescent="0.35">
      <c r="A149" s="4" t="s">
        <v>244</v>
      </c>
      <c r="B149" s="6" t="s">
        <v>9</v>
      </c>
      <c r="C149" s="6" t="s">
        <v>25</v>
      </c>
      <c r="D149" s="6" t="s">
        <v>33</v>
      </c>
      <c r="E149" s="8">
        <v>44711</v>
      </c>
      <c r="F149" s="10">
        <v>47794</v>
      </c>
      <c r="G149">
        <v>96</v>
      </c>
      <c r="H149" t="s">
        <v>12</v>
      </c>
      <c r="J149" s="4" t="str">
        <f>TRIM(CLEAN(A149))</f>
        <v>EMP107</v>
      </c>
      <c r="K149" s="6" t="str">
        <f>TRIM(CLEAN(PROPER(B149)))</f>
        <v>Emily</v>
      </c>
      <c r="L149" s="6" t="str">
        <f>TRIM(CLEAN(PROPER(C149)))</f>
        <v>Martinez</v>
      </c>
      <c r="M149" s="22" t="str">
        <f t="shared" si="6"/>
        <v>Emily Martinez</v>
      </c>
      <c r="N149" s="22" t="str">
        <f>_xlfn.XLOOKUP(O149,Lookup_Departments!$A$2:$A$7,Lookup_Departments!$B$2:$B$7,"Not Found")</f>
        <v>Operations</v>
      </c>
      <c r="O149" s="4" t="str">
        <f>IFERROR(VLOOKUP(D149,Lookup_Departments!$A$2:$B$7,1,FALSE),"Invalid")</f>
        <v>OPS06</v>
      </c>
      <c r="P149" s="8">
        <f t="shared" si="7"/>
        <v>44711</v>
      </c>
      <c r="Q149" s="17">
        <f t="shared" ca="1" si="8"/>
        <v>4</v>
      </c>
      <c r="R149" s="14">
        <f>IF(F149="",AVERAGEIF($D$2:$D$151,D149,$F$2:$F$151),F149)</f>
        <v>47794</v>
      </c>
      <c r="S149" s="17">
        <f>IF(G149="",AVERAGE($G$2:$G$158),G149)</f>
        <v>96</v>
      </c>
      <c r="T149" s="6" t="str">
        <f>_xlfn.XLOOKUP(S149,Lookup_Performance!$A$2:$A$6,Lookup_Performance!$C$2:$C$6,"Not Found",-1)</f>
        <v>Outstanding</v>
      </c>
      <c r="U149" s="24">
        <f>_xlfn.XLOOKUP(S149,Lookup_Performance!$A$2:$A$6,Lookup_Performance!$D$2:$D$6,"Not Found",-1)</f>
        <v>0.12</v>
      </c>
      <c r="V149" s="6" t="str">
        <f>TRIM(CLEAN(UPPER(H149)))</f>
        <v>ACTIVE</v>
      </c>
    </row>
    <row r="150" spans="1:22" x14ac:dyDescent="0.35">
      <c r="A150" s="4" t="s">
        <v>245</v>
      </c>
      <c r="B150" s="6" t="s">
        <v>64</v>
      </c>
      <c r="C150" s="6" t="s">
        <v>40</v>
      </c>
      <c r="D150" s="6" t="s">
        <v>16</v>
      </c>
      <c r="E150" s="8">
        <v>42677</v>
      </c>
      <c r="F150" s="10">
        <v>93094</v>
      </c>
      <c r="G150">
        <v>52</v>
      </c>
      <c r="H150" t="s">
        <v>22</v>
      </c>
      <c r="J150" s="4" t="str">
        <f>TRIM(CLEAN(A150))</f>
        <v>EMP093</v>
      </c>
      <c r="K150" s="6" t="str">
        <f>TRIM(CLEAN(PROPER(B150)))</f>
        <v>James</v>
      </c>
      <c r="L150" s="6" t="str">
        <f>TRIM(CLEAN(PROPER(C150)))</f>
        <v>Rodriguez</v>
      </c>
      <c r="M150" s="22" t="str">
        <f t="shared" si="6"/>
        <v>James Rodriguez</v>
      </c>
      <c r="N150" s="22" t="str">
        <f>_xlfn.XLOOKUP(O150,Lookup_Departments!$A$2:$A$7,Lookup_Departments!$B$2:$B$7,"Not Found")</f>
        <v>Marketing</v>
      </c>
      <c r="O150" s="4" t="str">
        <f>IFERROR(VLOOKUP(D150,Lookup_Departments!$A$2:$B$7,1,FALSE),"Invalid")</f>
        <v>MKT04</v>
      </c>
      <c r="P150" s="8">
        <f t="shared" si="7"/>
        <v>42677</v>
      </c>
      <c r="Q150" s="17">
        <f t="shared" ca="1" si="8"/>
        <v>9</v>
      </c>
      <c r="R150" s="14">
        <f>IF(F150="",AVERAGEIF($D$2:$D$151,D150,$F$2:$F$151),F150)</f>
        <v>93094</v>
      </c>
      <c r="S150" s="17">
        <f>IF(G150="",AVERAGE($G$2:$G$158),G150)</f>
        <v>52</v>
      </c>
      <c r="T150" s="6" t="str">
        <f>_xlfn.XLOOKUP(S150,Lookup_Performance!$A$2:$A$6,Lookup_Performance!$C$2:$C$6,"Not Found",-1)</f>
        <v>Developing</v>
      </c>
      <c r="U150" s="24">
        <f>_xlfn.XLOOKUP(S150,Lookup_Performance!$A$2:$A$6,Lookup_Performance!$D$2:$D$6,"Not Found",-1)</f>
        <v>0.02</v>
      </c>
      <c r="V150" s="6" t="str">
        <f>TRIM(CLEAN(UPPER(H150)))</f>
        <v>LEFT</v>
      </c>
    </row>
    <row r="151" spans="1:22" x14ac:dyDescent="0.35">
      <c r="A151" s="4" t="s">
        <v>246</v>
      </c>
      <c r="B151" s="6" t="s">
        <v>69</v>
      </c>
      <c r="C151" s="6" t="s">
        <v>10</v>
      </c>
      <c r="D151" s="6" t="s">
        <v>11</v>
      </c>
      <c r="E151" s="8">
        <v>44848</v>
      </c>
      <c r="F151" s="10">
        <v>118634</v>
      </c>
      <c r="G151">
        <v>59</v>
      </c>
      <c r="H151" t="s">
        <v>265</v>
      </c>
      <c r="J151" s="4" t="str">
        <f>TRIM(CLEAN(A151))</f>
        <v>EMP103</v>
      </c>
      <c r="K151" s="6" t="str">
        <f>TRIM(CLEAN(PROPER(B151)))</f>
        <v>Amanda</v>
      </c>
      <c r="L151" s="6" t="str">
        <f>TRIM(CLEAN(PROPER(C151)))</f>
        <v>Brown</v>
      </c>
      <c r="M151" s="22" t="str">
        <f t="shared" si="6"/>
        <v>Amanda Brown</v>
      </c>
      <c r="N151" s="22" t="str">
        <f>_xlfn.XLOOKUP(O151,Lookup_Departments!$A$2:$A$7,Lookup_Departments!$B$2:$B$7,"Not Found")</f>
        <v>Information Technology</v>
      </c>
      <c r="O151" s="4" t="str">
        <f>IFERROR(VLOOKUP(D151,Lookup_Departments!$A$2:$B$7,1,FALSE),"Invalid")</f>
        <v>IT02</v>
      </c>
      <c r="P151" s="8">
        <f t="shared" si="7"/>
        <v>44848</v>
      </c>
      <c r="Q151" s="17">
        <f t="shared" ca="1" si="8"/>
        <v>3</v>
      </c>
      <c r="R151" s="14">
        <f>IF(F151="",AVERAGEIF($D$2:$D$151,D151,$F$2:$F$151),F151)</f>
        <v>118634</v>
      </c>
      <c r="S151" s="17">
        <f>IF(G151="",AVERAGE($G$2:$G$158),G151)</f>
        <v>59</v>
      </c>
      <c r="T151" s="6" t="str">
        <f>_xlfn.XLOOKUP(S151,Lookup_Performance!$A$2:$A$6,Lookup_Performance!$C$2:$C$6,"Not Found",-1)</f>
        <v>Developing</v>
      </c>
      <c r="U151" s="24">
        <f>_xlfn.XLOOKUP(S151,Lookup_Performance!$A$2:$A$6,Lookup_Performance!$D$2:$D$6,"Not Found",-1)</f>
        <v>0.02</v>
      </c>
      <c r="V151" s="6" t="str">
        <f>TRIM(CLEAN(UPPER(H151)))</f>
        <v>ACTIVE</v>
      </c>
    </row>
    <row r="152" spans="1:22" x14ac:dyDescent="0.35">
      <c r="G152"/>
      <c r="H152"/>
    </row>
    <row r="153" spans="1:22" x14ac:dyDescent="0.35">
      <c r="G153"/>
      <c r="H153"/>
    </row>
    <row r="154" spans="1:22" x14ac:dyDescent="0.35">
      <c r="G154"/>
      <c r="H154"/>
    </row>
    <row r="155" spans="1:22" x14ac:dyDescent="0.35">
      <c r="G155"/>
      <c r="H155"/>
    </row>
    <row r="156" spans="1:22" x14ac:dyDescent="0.35">
      <c r="A156"/>
      <c r="B156"/>
      <c r="C156"/>
      <c r="D156"/>
      <c r="F156"/>
      <c r="G156"/>
      <c r="H156"/>
      <c r="I156"/>
      <c r="J156"/>
      <c r="K156"/>
      <c r="L156"/>
      <c r="R156"/>
      <c r="S156"/>
      <c r="V156"/>
    </row>
    <row r="157" spans="1:22" x14ac:dyDescent="0.35">
      <c r="A157"/>
      <c r="B157"/>
      <c r="C157"/>
      <c r="D157"/>
      <c r="F157"/>
      <c r="G157"/>
      <c r="H157"/>
      <c r="I157"/>
      <c r="J157"/>
      <c r="K157"/>
      <c r="L157"/>
      <c r="R157"/>
      <c r="S157"/>
      <c r="V157"/>
    </row>
    <row r="158" spans="1:22" x14ac:dyDescent="0.35">
      <c r="A158"/>
      <c r="B158"/>
      <c r="C158"/>
      <c r="D158"/>
      <c r="F158"/>
      <c r="G158"/>
      <c r="H158"/>
      <c r="I158"/>
      <c r="J158"/>
      <c r="K158"/>
      <c r="L158"/>
      <c r="R158"/>
      <c r="S158"/>
      <c r="V158"/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1"/>
  <sheetViews>
    <sheetView topLeftCell="A132" workbookViewId="0">
      <selection activeCell="E2" sqref="E2:E151"/>
    </sheetView>
  </sheetViews>
  <sheetFormatPr defaultRowHeight="14.5" x14ac:dyDescent="0.35"/>
  <cols>
    <col min="1" max="1" width="7.54296875" bestFit="1" customWidth="1"/>
    <col min="2" max="2" width="10.36328125" bestFit="1" customWidth="1"/>
    <col min="3" max="3" width="10.08984375" bestFit="1" customWidth="1"/>
    <col min="4" max="4" width="9.6328125" bestFit="1" customWidth="1"/>
    <col min="5" max="5" width="17.81640625" bestFit="1" customWidth="1"/>
    <col min="6" max="6" width="8.26953125" bestFit="1" customWidth="1"/>
    <col min="7" max="7" width="9.81640625" bestFit="1" customWidth="1"/>
    <col min="8" max="8" width="17.363281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E2" s="2">
        <v>43093</v>
      </c>
      <c r="F2">
        <v>50361</v>
      </c>
      <c r="G2">
        <v>52</v>
      </c>
      <c r="H2" t="s">
        <v>12</v>
      </c>
    </row>
    <row r="3" spans="1:8" x14ac:dyDescent="0.35">
      <c r="A3" t="s">
        <v>13</v>
      </c>
      <c r="B3" t="s">
        <v>14</v>
      </c>
      <c r="C3" t="s">
        <v>15</v>
      </c>
      <c r="D3" t="s">
        <v>16</v>
      </c>
      <c r="E3" s="2">
        <v>44659</v>
      </c>
      <c r="F3">
        <v>112673</v>
      </c>
      <c r="H3" t="s">
        <v>17</v>
      </c>
    </row>
    <row r="4" spans="1:8" x14ac:dyDescent="0.35">
      <c r="A4" t="s">
        <v>18</v>
      </c>
      <c r="B4" t="s">
        <v>9</v>
      </c>
      <c r="C4" t="s">
        <v>19</v>
      </c>
      <c r="D4" t="s">
        <v>20</v>
      </c>
      <c r="E4" s="2">
        <v>42431</v>
      </c>
      <c r="F4" t="s">
        <v>21</v>
      </c>
      <c r="G4">
        <v>54</v>
      </c>
      <c r="H4" t="s">
        <v>22</v>
      </c>
    </row>
    <row r="5" spans="1:8" x14ac:dyDescent="0.35">
      <c r="A5" t="s">
        <v>23</v>
      </c>
      <c r="B5" t="s">
        <v>24</v>
      </c>
      <c r="C5" t="s">
        <v>25</v>
      </c>
      <c r="D5" t="s">
        <v>26</v>
      </c>
      <c r="E5" s="2">
        <v>45110</v>
      </c>
      <c r="F5">
        <v>103831</v>
      </c>
      <c r="G5">
        <v>70</v>
      </c>
      <c r="H5" t="s">
        <v>12</v>
      </c>
    </row>
    <row r="6" spans="1:8" x14ac:dyDescent="0.35">
      <c r="A6" t="s">
        <v>27</v>
      </c>
      <c r="B6" t="s">
        <v>28</v>
      </c>
      <c r="C6" t="s">
        <v>29</v>
      </c>
      <c r="D6" t="s">
        <v>11</v>
      </c>
      <c r="E6" s="2">
        <v>44977</v>
      </c>
      <c r="F6">
        <v>73785</v>
      </c>
      <c r="G6">
        <v>40</v>
      </c>
      <c r="H6" t="s">
        <v>30</v>
      </c>
    </row>
    <row r="7" spans="1:8" x14ac:dyDescent="0.35">
      <c r="A7" t="s">
        <v>31</v>
      </c>
      <c r="B7" t="s">
        <v>9</v>
      </c>
      <c r="C7" t="s">
        <v>32</v>
      </c>
      <c r="D7" t="s">
        <v>33</v>
      </c>
      <c r="E7" s="12">
        <v>43892</v>
      </c>
      <c r="F7">
        <v>115882</v>
      </c>
      <c r="G7">
        <v>49</v>
      </c>
      <c r="H7" t="s">
        <v>17</v>
      </c>
    </row>
    <row r="8" spans="1:8" x14ac:dyDescent="0.35">
      <c r="A8" t="s">
        <v>34</v>
      </c>
      <c r="B8" t="s">
        <v>24</v>
      </c>
      <c r="C8" t="s">
        <v>35</v>
      </c>
      <c r="D8" t="s">
        <v>36</v>
      </c>
      <c r="E8" s="2">
        <v>45272</v>
      </c>
      <c r="F8">
        <v>59980</v>
      </c>
      <c r="G8">
        <v>70</v>
      </c>
      <c r="H8" t="s">
        <v>30</v>
      </c>
    </row>
    <row r="9" spans="1:8" x14ac:dyDescent="0.35">
      <c r="A9" t="s">
        <v>37</v>
      </c>
      <c r="B9" t="s">
        <v>38</v>
      </c>
      <c r="C9" t="s">
        <v>29</v>
      </c>
      <c r="D9" t="s">
        <v>36</v>
      </c>
      <c r="E9" s="2">
        <v>44174</v>
      </c>
      <c r="F9">
        <v>68728</v>
      </c>
      <c r="G9">
        <v>45</v>
      </c>
      <c r="H9" t="s">
        <v>17</v>
      </c>
    </row>
    <row r="10" spans="1:8" x14ac:dyDescent="0.35">
      <c r="A10" t="s">
        <v>39</v>
      </c>
      <c r="C10" t="s">
        <v>40</v>
      </c>
      <c r="D10" t="s">
        <v>26</v>
      </c>
      <c r="E10" s="2">
        <v>43107</v>
      </c>
      <c r="F10">
        <v>102139</v>
      </c>
      <c r="G10">
        <v>79</v>
      </c>
      <c r="H10" t="s">
        <v>12</v>
      </c>
    </row>
    <row r="11" spans="1:8" x14ac:dyDescent="0.35">
      <c r="A11" t="s">
        <v>41</v>
      </c>
      <c r="B11" t="s">
        <v>42</v>
      </c>
      <c r="C11" t="s">
        <v>25</v>
      </c>
      <c r="D11" t="s">
        <v>43</v>
      </c>
      <c r="E11" s="2">
        <v>42676</v>
      </c>
      <c r="F11">
        <v>94998</v>
      </c>
      <c r="G11">
        <v>58</v>
      </c>
      <c r="H11" t="s">
        <v>44</v>
      </c>
    </row>
    <row r="12" spans="1:8" x14ac:dyDescent="0.35">
      <c r="A12" t="s">
        <v>45</v>
      </c>
      <c r="B12" t="s">
        <v>9</v>
      </c>
      <c r="C12" t="s">
        <v>46</v>
      </c>
      <c r="D12" t="s">
        <v>47</v>
      </c>
      <c r="E12" s="2">
        <v>43911</v>
      </c>
      <c r="F12" t="s">
        <v>48</v>
      </c>
      <c r="G12">
        <v>49</v>
      </c>
      <c r="H12" t="s">
        <v>44</v>
      </c>
    </row>
    <row r="13" spans="1:8" x14ac:dyDescent="0.35">
      <c r="A13" t="s">
        <v>49</v>
      </c>
      <c r="B13" t="s">
        <v>9</v>
      </c>
      <c r="C13" t="s">
        <v>15</v>
      </c>
      <c r="D13" t="s">
        <v>11</v>
      </c>
      <c r="E13" s="2">
        <v>42425</v>
      </c>
      <c r="F13">
        <v>76918</v>
      </c>
      <c r="G13">
        <v>62</v>
      </c>
      <c r="H13" t="s">
        <v>50</v>
      </c>
    </row>
    <row r="14" spans="1:8" x14ac:dyDescent="0.35">
      <c r="A14" t="s">
        <v>51</v>
      </c>
      <c r="B14" t="s">
        <v>52</v>
      </c>
      <c r="C14" t="s">
        <v>53</v>
      </c>
      <c r="D14" t="s">
        <v>54</v>
      </c>
      <c r="E14" s="12">
        <v>44364</v>
      </c>
      <c r="F14">
        <v>61408</v>
      </c>
      <c r="G14">
        <v>48</v>
      </c>
      <c r="H14" t="s">
        <v>17</v>
      </c>
    </row>
    <row r="15" spans="1:8" x14ac:dyDescent="0.35">
      <c r="A15" t="s">
        <v>55</v>
      </c>
      <c r="B15" t="s">
        <v>52</v>
      </c>
      <c r="C15" t="s">
        <v>46</v>
      </c>
      <c r="D15" t="s">
        <v>16</v>
      </c>
      <c r="E15" s="2">
        <v>44001</v>
      </c>
      <c r="F15">
        <v>99990</v>
      </c>
      <c r="G15">
        <v>54</v>
      </c>
      <c r="H15" t="s">
        <v>50</v>
      </c>
    </row>
    <row r="16" spans="1:8" x14ac:dyDescent="0.35">
      <c r="A16" t="s">
        <v>56</v>
      </c>
      <c r="B16" t="s">
        <v>57</v>
      </c>
      <c r="C16" t="s">
        <v>58</v>
      </c>
      <c r="D16" t="s">
        <v>59</v>
      </c>
      <c r="E16" s="2">
        <v>43820</v>
      </c>
      <c r="F16">
        <v>80385</v>
      </c>
      <c r="H16" t="s">
        <v>12</v>
      </c>
    </row>
    <row r="17" spans="1:8" x14ac:dyDescent="0.35">
      <c r="A17" t="s">
        <v>60</v>
      </c>
      <c r="B17" t="s">
        <v>28</v>
      </c>
      <c r="C17" t="s">
        <v>40</v>
      </c>
      <c r="D17" t="s">
        <v>43</v>
      </c>
      <c r="E17" s="2">
        <v>45169</v>
      </c>
      <c r="F17">
        <v>65290</v>
      </c>
      <c r="G17">
        <v>77</v>
      </c>
      <c r="H17" t="s">
        <v>12</v>
      </c>
    </row>
    <row r="18" spans="1:8" x14ac:dyDescent="0.35">
      <c r="A18" t="s">
        <v>61</v>
      </c>
      <c r="B18" t="s">
        <v>9</v>
      </c>
      <c r="C18" t="s">
        <v>62</v>
      </c>
      <c r="D18" t="s">
        <v>11</v>
      </c>
      <c r="E18" s="2">
        <v>42337</v>
      </c>
      <c r="F18">
        <v>105765</v>
      </c>
      <c r="G18">
        <v>42</v>
      </c>
      <c r="H18" t="s">
        <v>44</v>
      </c>
    </row>
    <row r="19" spans="1:8" x14ac:dyDescent="0.35">
      <c r="A19" t="s">
        <v>63</v>
      </c>
      <c r="B19" t="s">
        <v>64</v>
      </c>
      <c r="C19" t="s">
        <v>25</v>
      </c>
      <c r="D19" t="s">
        <v>43</v>
      </c>
      <c r="E19" s="2">
        <v>42899</v>
      </c>
      <c r="F19">
        <v>102921</v>
      </c>
      <c r="G19">
        <v>49</v>
      </c>
      <c r="H19" t="s">
        <v>17</v>
      </c>
    </row>
    <row r="20" spans="1:8" x14ac:dyDescent="0.35">
      <c r="A20" t="s">
        <v>65</v>
      </c>
      <c r="B20" t="s">
        <v>66</v>
      </c>
      <c r="C20" t="s">
        <v>67</v>
      </c>
      <c r="D20" t="s">
        <v>16</v>
      </c>
      <c r="E20" s="2">
        <v>43235</v>
      </c>
      <c r="F20">
        <v>73984</v>
      </c>
      <c r="G20">
        <v>93</v>
      </c>
      <c r="H20" t="s">
        <v>50</v>
      </c>
    </row>
    <row r="21" spans="1:8" x14ac:dyDescent="0.35">
      <c r="A21" t="s">
        <v>68</v>
      </c>
      <c r="B21" t="s">
        <v>69</v>
      </c>
      <c r="C21" t="s">
        <v>19</v>
      </c>
      <c r="D21" t="s">
        <v>11</v>
      </c>
      <c r="E21" s="2">
        <v>42575</v>
      </c>
      <c r="G21">
        <v>75</v>
      </c>
      <c r="H21" t="s">
        <v>50</v>
      </c>
    </row>
    <row r="22" spans="1:8" x14ac:dyDescent="0.35">
      <c r="A22" t="s">
        <v>70</v>
      </c>
      <c r="B22" t="s">
        <v>42</v>
      </c>
      <c r="C22" t="s">
        <v>15</v>
      </c>
      <c r="D22" t="s">
        <v>26</v>
      </c>
      <c r="E22" s="2">
        <v>43076</v>
      </c>
      <c r="F22">
        <v>118527</v>
      </c>
      <c r="G22">
        <v>50</v>
      </c>
      <c r="H22" t="s">
        <v>50</v>
      </c>
    </row>
    <row r="23" spans="1:8" x14ac:dyDescent="0.35">
      <c r="A23" t="s">
        <v>71</v>
      </c>
      <c r="B23" t="s">
        <v>14</v>
      </c>
      <c r="C23" t="s">
        <v>15</v>
      </c>
      <c r="D23" t="s">
        <v>16</v>
      </c>
      <c r="E23" s="2">
        <v>44353</v>
      </c>
      <c r="F23">
        <v>107871</v>
      </c>
      <c r="G23">
        <v>88</v>
      </c>
      <c r="H23" t="s">
        <v>12</v>
      </c>
    </row>
    <row r="24" spans="1:8" x14ac:dyDescent="0.35">
      <c r="A24" t="s">
        <v>72</v>
      </c>
      <c r="B24" t="s">
        <v>42</v>
      </c>
      <c r="C24" t="s">
        <v>40</v>
      </c>
      <c r="D24" t="s">
        <v>20</v>
      </c>
      <c r="E24" s="2">
        <v>44815</v>
      </c>
      <c r="F24">
        <v>93956</v>
      </c>
      <c r="G24">
        <v>50</v>
      </c>
      <c r="H24" t="s">
        <v>22</v>
      </c>
    </row>
    <row r="25" spans="1:8" x14ac:dyDescent="0.35">
      <c r="A25" t="s">
        <v>73</v>
      </c>
      <c r="B25" t="s">
        <v>38</v>
      </c>
      <c r="C25" t="s">
        <v>32</v>
      </c>
      <c r="D25" t="s">
        <v>74</v>
      </c>
      <c r="E25" s="2">
        <v>42565</v>
      </c>
      <c r="F25">
        <v>100851</v>
      </c>
      <c r="G25">
        <v>64</v>
      </c>
      <c r="H25" t="s">
        <v>17</v>
      </c>
    </row>
    <row r="26" spans="1:8" x14ac:dyDescent="0.35">
      <c r="A26" t="s">
        <v>75</v>
      </c>
      <c r="B26" t="s">
        <v>66</v>
      </c>
      <c r="C26" t="s">
        <v>53</v>
      </c>
      <c r="D26" t="s">
        <v>43</v>
      </c>
      <c r="E26" s="2">
        <v>44728</v>
      </c>
      <c r="F26">
        <v>68655</v>
      </c>
      <c r="G26">
        <v>32</v>
      </c>
      <c r="H26" t="s">
        <v>12</v>
      </c>
    </row>
    <row r="27" spans="1:8" x14ac:dyDescent="0.35">
      <c r="A27" t="s">
        <v>76</v>
      </c>
      <c r="C27" t="s">
        <v>53</v>
      </c>
      <c r="D27" t="s">
        <v>77</v>
      </c>
      <c r="E27" s="2">
        <v>45134</v>
      </c>
      <c r="F27">
        <v>81205</v>
      </c>
      <c r="G27">
        <v>59</v>
      </c>
      <c r="H27" t="s">
        <v>50</v>
      </c>
    </row>
    <row r="28" spans="1:8" x14ac:dyDescent="0.35">
      <c r="A28" t="s">
        <v>78</v>
      </c>
      <c r="B28" t="s">
        <v>24</v>
      </c>
      <c r="C28" t="s">
        <v>35</v>
      </c>
      <c r="D28" t="s">
        <v>43</v>
      </c>
      <c r="E28" t="s">
        <v>79</v>
      </c>
      <c r="F28" t="s">
        <v>80</v>
      </c>
      <c r="G28">
        <v>88</v>
      </c>
      <c r="H28" t="s">
        <v>50</v>
      </c>
    </row>
    <row r="29" spans="1:8" x14ac:dyDescent="0.35">
      <c r="A29" t="s">
        <v>81</v>
      </c>
      <c r="B29" t="s">
        <v>28</v>
      </c>
      <c r="C29" t="s">
        <v>40</v>
      </c>
      <c r="D29" t="s">
        <v>82</v>
      </c>
      <c r="E29" s="2">
        <v>44765</v>
      </c>
      <c r="F29" t="s">
        <v>83</v>
      </c>
      <c r="G29">
        <v>90</v>
      </c>
      <c r="H29" t="s">
        <v>44</v>
      </c>
    </row>
    <row r="30" spans="1:8" x14ac:dyDescent="0.35">
      <c r="A30" t="s">
        <v>84</v>
      </c>
      <c r="B30" t="s">
        <v>42</v>
      </c>
      <c r="C30" t="s">
        <v>35</v>
      </c>
      <c r="D30" t="s">
        <v>85</v>
      </c>
      <c r="E30" s="12">
        <v>43233</v>
      </c>
      <c r="F30">
        <v>85312</v>
      </c>
      <c r="G30">
        <v>66</v>
      </c>
      <c r="H30" t="s">
        <v>12</v>
      </c>
    </row>
    <row r="31" spans="1:8" x14ac:dyDescent="0.35">
      <c r="A31" t="s">
        <v>86</v>
      </c>
      <c r="B31" t="s">
        <v>24</v>
      </c>
      <c r="C31" t="s">
        <v>40</v>
      </c>
      <c r="D31" t="s">
        <v>43</v>
      </c>
      <c r="E31" s="2">
        <v>42202</v>
      </c>
      <c r="G31">
        <v>68</v>
      </c>
      <c r="H31" t="s">
        <v>12</v>
      </c>
    </row>
    <row r="32" spans="1:8" x14ac:dyDescent="0.35">
      <c r="A32" t="s">
        <v>87</v>
      </c>
      <c r="B32" t="s">
        <v>28</v>
      </c>
      <c r="C32" t="s">
        <v>15</v>
      </c>
      <c r="D32" t="s">
        <v>33</v>
      </c>
      <c r="E32" s="12">
        <v>42221</v>
      </c>
      <c r="F32">
        <v>97055</v>
      </c>
      <c r="G32">
        <v>80</v>
      </c>
      <c r="H32" t="s">
        <v>50</v>
      </c>
    </row>
    <row r="33" spans="1:8" x14ac:dyDescent="0.35">
      <c r="A33" t="s">
        <v>88</v>
      </c>
      <c r="B33" t="s">
        <v>42</v>
      </c>
      <c r="C33" t="s">
        <v>32</v>
      </c>
      <c r="D33" t="s">
        <v>11</v>
      </c>
      <c r="E33" s="2">
        <v>45195</v>
      </c>
      <c r="F33">
        <v>66069</v>
      </c>
      <c r="G33">
        <v>72</v>
      </c>
      <c r="H33" t="s">
        <v>50</v>
      </c>
    </row>
    <row r="34" spans="1:8" x14ac:dyDescent="0.35">
      <c r="A34" t="s">
        <v>89</v>
      </c>
      <c r="B34" t="s">
        <v>90</v>
      </c>
      <c r="C34" t="s">
        <v>10</v>
      </c>
      <c r="D34" t="s">
        <v>82</v>
      </c>
      <c r="E34" s="12">
        <v>43626</v>
      </c>
      <c r="F34">
        <v>90157</v>
      </c>
      <c r="G34">
        <v>58</v>
      </c>
      <c r="H34" t="s">
        <v>12</v>
      </c>
    </row>
    <row r="35" spans="1:8" x14ac:dyDescent="0.35">
      <c r="A35" t="s">
        <v>91</v>
      </c>
      <c r="B35" t="s">
        <v>52</v>
      </c>
      <c r="C35" t="s">
        <v>25</v>
      </c>
      <c r="D35" t="s">
        <v>92</v>
      </c>
      <c r="E35" s="2">
        <v>44578</v>
      </c>
      <c r="F35">
        <v>59899</v>
      </c>
      <c r="G35">
        <v>78</v>
      </c>
      <c r="H35" t="s">
        <v>50</v>
      </c>
    </row>
    <row r="36" spans="1:8" x14ac:dyDescent="0.35">
      <c r="A36" t="s">
        <v>93</v>
      </c>
      <c r="B36" t="s">
        <v>9</v>
      </c>
      <c r="C36" t="s">
        <v>58</v>
      </c>
      <c r="D36" t="s">
        <v>74</v>
      </c>
      <c r="E36" s="12">
        <v>42919</v>
      </c>
      <c r="F36">
        <v>113389</v>
      </c>
      <c r="G36">
        <v>30</v>
      </c>
      <c r="H36" t="s">
        <v>17</v>
      </c>
    </row>
    <row r="37" spans="1:8" x14ac:dyDescent="0.35">
      <c r="A37" t="s">
        <v>94</v>
      </c>
      <c r="C37" t="s">
        <v>10</v>
      </c>
      <c r="D37" t="s">
        <v>20</v>
      </c>
      <c r="E37" s="12">
        <v>42248</v>
      </c>
      <c r="F37">
        <v>102691</v>
      </c>
      <c r="G37">
        <v>52</v>
      </c>
      <c r="H37" t="s">
        <v>44</v>
      </c>
    </row>
    <row r="38" spans="1:8" x14ac:dyDescent="0.35">
      <c r="A38" t="s">
        <v>95</v>
      </c>
      <c r="B38" t="s">
        <v>24</v>
      </c>
      <c r="C38" t="s">
        <v>35</v>
      </c>
      <c r="D38" t="s">
        <v>33</v>
      </c>
      <c r="E38" s="12">
        <v>44776</v>
      </c>
      <c r="F38">
        <v>111845</v>
      </c>
      <c r="G38">
        <v>98</v>
      </c>
      <c r="H38" t="s">
        <v>12</v>
      </c>
    </row>
    <row r="39" spans="1:8" x14ac:dyDescent="0.35">
      <c r="A39" t="s">
        <v>96</v>
      </c>
      <c r="B39" t="s">
        <v>97</v>
      </c>
      <c r="C39" t="s">
        <v>10</v>
      </c>
      <c r="D39" t="s">
        <v>77</v>
      </c>
      <c r="E39" t="s">
        <v>98</v>
      </c>
      <c r="F39">
        <v>69219</v>
      </c>
      <c r="G39">
        <v>93</v>
      </c>
      <c r="H39" t="s">
        <v>50</v>
      </c>
    </row>
    <row r="40" spans="1:8" x14ac:dyDescent="0.35">
      <c r="A40" t="s">
        <v>99</v>
      </c>
      <c r="B40" t="s">
        <v>42</v>
      </c>
      <c r="C40" t="s">
        <v>29</v>
      </c>
      <c r="D40" t="s">
        <v>26</v>
      </c>
      <c r="E40" s="2">
        <v>43949</v>
      </c>
      <c r="G40">
        <v>80</v>
      </c>
      <c r="H40" t="s">
        <v>100</v>
      </c>
    </row>
    <row r="41" spans="1:8" x14ac:dyDescent="0.35">
      <c r="A41" t="s">
        <v>101</v>
      </c>
      <c r="B41" t="s">
        <v>90</v>
      </c>
      <c r="C41" t="s">
        <v>46</v>
      </c>
      <c r="D41" t="s">
        <v>33</v>
      </c>
      <c r="E41" s="8">
        <v>42987</v>
      </c>
      <c r="F41">
        <v>57514</v>
      </c>
      <c r="H41" t="s">
        <v>12</v>
      </c>
    </row>
    <row r="42" spans="1:8" x14ac:dyDescent="0.35">
      <c r="A42" t="s">
        <v>102</v>
      </c>
      <c r="B42" t="s">
        <v>9</v>
      </c>
      <c r="C42" t="s">
        <v>35</v>
      </c>
      <c r="D42" t="s">
        <v>43</v>
      </c>
      <c r="E42" s="2">
        <v>43181</v>
      </c>
      <c r="F42">
        <v>86245</v>
      </c>
      <c r="G42">
        <v>71</v>
      </c>
      <c r="H42" t="s">
        <v>22</v>
      </c>
    </row>
    <row r="43" spans="1:8" x14ac:dyDescent="0.35">
      <c r="A43" t="s">
        <v>103</v>
      </c>
      <c r="B43" t="s">
        <v>104</v>
      </c>
      <c r="C43" t="s">
        <v>15</v>
      </c>
      <c r="D43" t="s">
        <v>43</v>
      </c>
      <c r="E43" s="2">
        <v>43958</v>
      </c>
      <c r="F43">
        <v>52407</v>
      </c>
      <c r="G43">
        <v>55</v>
      </c>
      <c r="H43" t="s">
        <v>12</v>
      </c>
    </row>
    <row r="44" spans="1:8" x14ac:dyDescent="0.35">
      <c r="A44" t="s">
        <v>105</v>
      </c>
      <c r="B44" t="s">
        <v>64</v>
      </c>
      <c r="C44" t="s">
        <v>29</v>
      </c>
      <c r="D44" t="s">
        <v>36</v>
      </c>
      <c r="E44" s="2">
        <v>43549</v>
      </c>
      <c r="F44" t="s">
        <v>106</v>
      </c>
      <c r="G44">
        <v>93</v>
      </c>
      <c r="H44" t="s">
        <v>107</v>
      </c>
    </row>
    <row r="45" spans="1:8" x14ac:dyDescent="0.35">
      <c r="A45" t="s">
        <v>108</v>
      </c>
      <c r="B45" t="s">
        <v>90</v>
      </c>
      <c r="C45" t="s">
        <v>53</v>
      </c>
      <c r="D45" t="s">
        <v>11</v>
      </c>
      <c r="E45" s="2">
        <v>43686</v>
      </c>
      <c r="F45">
        <v>81896</v>
      </c>
      <c r="G45">
        <v>79</v>
      </c>
      <c r="H45" t="s">
        <v>107</v>
      </c>
    </row>
    <row r="46" spans="1:8" x14ac:dyDescent="0.35">
      <c r="A46" t="s">
        <v>109</v>
      </c>
      <c r="B46" t="s">
        <v>69</v>
      </c>
      <c r="C46" t="s">
        <v>67</v>
      </c>
      <c r="D46" t="s">
        <v>43</v>
      </c>
      <c r="E46" t="s">
        <v>110</v>
      </c>
      <c r="F46">
        <v>78402</v>
      </c>
      <c r="G46">
        <v>54</v>
      </c>
      <c r="H46" t="s">
        <v>17</v>
      </c>
    </row>
    <row r="47" spans="1:8" x14ac:dyDescent="0.35">
      <c r="A47" t="s">
        <v>111</v>
      </c>
      <c r="B47" t="s">
        <v>28</v>
      </c>
      <c r="C47" t="s">
        <v>67</v>
      </c>
      <c r="D47" t="s">
        <v>36</v>
      </c>
      <c r="E47" s="2">
        <v>42647</v>
      </c>
      <c r="F47">
        <v>105498</v>
      </c>
      <c r="G47">
        <v>76</v>
      </c>
      <c r="H47" t="s">
        <v>12</v>
      </c>
    </row>
    <row r="48" spans="1:8" x14ac:dyDescent="0.35">
      <c r="A48" t="s">
        <v>112</v>
      </c>
      <c r="B48" t="s">
        <v>97</v>
      </c>
      <c r="C48" t="s">
        <v>32</v>
      </c>
      <c r="D48" t="s">
        <v>16</v>
      </c>
      <c r="E48" s="12">
        <v>43656</v>
      </c>
      <c r="F48">
        <v>91749</v>
      </c>
      <c r="G48">
        <v>72</v>
      </c>
      <c r="H48" t="s">
        <v>100</v>
      </c>
    </row>
    <row r="49" spans="1:8" x14ac:dyDescent="0.35">
      <c r="A49" t="s">
        <v>113</v>
      </c>
      <c r="B49" t="s">
        <v>69</v>
      </c>
      <c r="C49" t="s">
        <v>32</v>
      </c>
      <c r="D49" t="s">
        <v>36</v>
      </c>
      <c r="E49" s="2">
        <v>44437</v>
      </c>
      <c r="F49">
        <v>99935</v>
      </c>
      <c r="G49">
        <v>84</v>
      </c>
      <c r="H49" t="s">
        <v>107</v>
      </c>
    </row>
    <row r="50" spans="1:8" x14ac:dyDescent="0.35">
      <c r="A50" t="s">
        <v>114</v>
      </c>
      <c r="B50" t="s">
        <v>24</v>
      </c>
      <c r="C50" t="s">
        <v>62</v>
      </c>
      <c r="D50" t="s">
        <v>20</v>
      </c>
      <c r="E50" s="2">
        <v>42761</v>
      </c>
      <c r="F50">
        <v>83531</v>
      </c>
      <c r="G50">
        <v>30</v>
      </c>
      <c r="H50" t="s">
        <v>100</v>
      </c>
    </row>
    <row r="51" spans="1:8" x14ac:dyDescent="0.35">
      <c r="A51" t="s">
        <v>115</v>
      </c>
      <c r="B51" t="s">
        <v>64</v>
      </c>
      <c r="C51" t="s">
        <v>32</v>
      </c>
      <c r="D51" t="s">
        <v>54</v>
      </c>
      <c r="E51" s="2">
        <v>43981</v>
      </c>
      <c r="F51" t="s">
        <v>116</v>
      </c>
      <c r="H51" t="s">
        <v>17</v>
      </c>
    </row>
    <row r="52" spans="1:8" x14ac:dyDescent="0.35">
      <c r="A52" t="s">
        <v>117</v>
      </c>
      <c r="B52" t="s">
        <v>52</v>
      </c>
      <c r="C52" t="s">
        <v>62</v>
      </c>
      <c r="D52" t="s">
        <v>92</v>
      </c>
      <c r="E52" s="2">
        <v>44612</v>
      </c>
      <c r="F52">
        <v>93290</v>
      </c>
      <c r="G52">
        <v>53</v>
      </c>
      <c r="H52" t="s">
        <v>17</v>
      </c>
    </row>
    <row r="53" spans="1:8" x14ac:dyDescent="0.35">
      <c r="A53" t="s">
        <v>118</v>
      </c>
      <c r="B53" t="s">
        <v>14</v>
      </c>
      <c r="C53" t="s">
        <v>62</v>
      </c>
      <c r="D53" t="s">
        <v>33</v>
      </c>
      <c r="E53" s="2">
        <v>42628</v>
      </c>
      <c r="F53">
        <v>115527</v>
      </c>
      <c r="G53">
        <v>63</v>
      </c>
      <c r="H53" t="s">
        <v>107</v>
      </c>
    </row>
    <row r="54" spans="1:8" x14ac:dyDescent="0.35">
      <c r="A54" t="s">
        <v>119</v>
      </c>
      <c r="B54" t="s">
        <v>28</v>
      </c>
      <c r="C54" t="s">
        <v>40</v>
      </c>
      <c r="D54" t="s">
        <v>74</v>
      </c>
      <c r="E54" s="8">
        <v>43656</v>
      </c>
      <c r="F54">
        <v>55920</v>
      </c>
      <c r="G54">
        <v>84</v>
      </c>
      <c r="H54" t="s">
        <v>50</v>
      </c>
    </row>
    <row r="55" spans="1:8" x14ac:dyDescent="0.35">
      <c r="A55" t="s">
        <v>120</v>
      </c>
      <c r="B55" t="s">
        <v>9</v>
      </c>
      <c r="C55" t="s">
        <v>32</v>
      </c>
      <c r="D55" t="s">
        <v>43</v>
      </c>
      <c r="E55" s="2">
        <v>43464</v>
      </c>
      <c r="F55">
        <v>80189</v>
      </c>
      <c r="G55">
        <v>30</v>
      </c>
      <c r="H55" t="s">
        <v>44</v>
      </c>
    </row>
    <row r="56" spans="1:8" x14ac:dyDescent="0.35">
      <c r="A56" t="s">
        <v>121</v>
      </c>
      <c r="B56" t="s">
        <v>9</v>
      </c>
      <c r="C56" t="s">
        <v>122</v>
      </c>
      <c r="D56" t="s">
        <v>92</v>
      </c>
      <c r="E56" s="2">
        <v>44189</v>
      </c>
      <c r="F56">
        <v>118947</v>
      </c>
      <c r="G56">
        <v>96</v>
      </c>
      <c r="H56" t="s">
        <v>12</v>
      </c>
    </row>
    <row r="57" spans="1:8" x14ac:dyDescent="0.35">
      <c r="A57" t="s">
        <v>123</v>
      </c>
      <c r="B57" t="s">
        <v>52</v>
      </c>
      <c r="C57" t="s">
        <v>124</v>
      </c>
      <c r="D57" t="s">
        <v>11</v>
      </c>
      <c r="E57" s="2">
        <v>45112</v>
      </c>
      <c r="G57">
        <v>54</v>
      </c>
      <c r="H57" t="s">
        <v>50</v>
      </c>
    </row>
    <row r="58" spans="1:8" x14ac:dyDescent="0.35">
      <c r="A58" t="s">
        <v>125</v>
      </c>
      <c r="B58" t="s">
        <v>28</v>
      </c>
      <c r="C58" t="s">
        <v>122</v>
      </c>
      <c r="D58" t="s">
        <v>36</v>
      </c>
      <c r="E58" s="2">
        <v>44148</v>
      </c>
      <c r="G58">
        <v>75</v>
      </c>
      <c r="H58" t="s">
        <v>50</v>
      </c>
    </row>
    <row r="59" spans="1:8" x14ac:dyDescent="0.35">
      <c r="A59" t="s">
        <v>126</v>
      </c>
      <c r="B59" t="s">
        <v>104</v>
      </c>
      <c r="C59" t="s">
        <v>25</v>
      </c>
      <c r="D59" t="s">
        <v>127</v>
      </c>
      <c r="E59" s="8">
        <v>43283</v>
      </c>
      <c r="F59">
        <v>91655</v>
      </c>
      <c r="G59">
        <v>95</v>
      </c>
      <c r="H59" t="s">
        <v>44</v>
      </c>
    </row>
    <row r="60" spans="1:8" x14ac:dyDescent="0.35">
      <c r="A60" t="s">
        <v>128</v>
      </c>
      <c r="B60" t="s">
        <v>9</v>
      </c>
      <c r="C60" t="s">
        <v>10</v>
      </c>
      <c r="D60" t="s">
        <v>11</v>
      </c>
      <c r="E60" s="2">
        <v>45255</v>
      </c>
      <c r="F60">
        <v>49435</v>
      </c>
      <c r="H60" t="s">
        <v>100</v>
      </c>
    </row>
    <row r="61" spans="1:8" x14ac:dyDescent="0.35">
      <c r="A61" t="s">
        <v>129</v>
      </c>
      <c r="B61" t="s">
        <v>9</v>
      </c>
      <c r="C61" t="s">
        <v>35</v>
      </c>
      <c r="D61" t="s">
        <v>47</v>
      </c>
      <c r="E61" s="2">
        <v>45217</v>
      </c>
      <c r="F61">
        <v>110381</v>
      </c>
      <c r="G61">
        <v>93</v>
      </c>
      <c r="H61" t="s">
        <v>44</v>
      </c>
    </row>
    <row r="62" spans="1:8" x14ac:dyDescent="0.35">
      <c r="A62" t="s">
        <v>130</v>
      </c>
      <c r="B62" t="s">
        <v>42</v>
      </c>
      <c r="C62" t="s">
        <v>124</v>
      </c>
      <c r="D62" t="s">
        <v>92</v>
      </c>
      <c r="E62" s="2">
        <v>44079</v>
      </c>
      <c r="F62">
        <v>114748</v>
      </c>
      <c r="G62">
        <v>33</v>
      </c>
      <c r="H62" t="s">
        <v>12</v>
      </c>
    </row>
    <row r="63" spans="1:8" x14ac:dyDescent="0.35">
      <c r="A63" t="s">
        <v>131</v>
      </c>
      <c r="B63" t="s">
        <v>57</v>
      </c>
      <c r="C63" t="s">
        <v>32</v>
      </c>
      <c r="D63" t="s">
        <v>33</v>
      </c>
      <c r="E63" s="2">
        <v>42800</v>
      </c>
      <c r="F63">
        <v>63302</v>
      </c>
      <c r="G63">
        <v>91</v>
      </c>
      <c r="H63" t="s">
        <v>12</v>
      </c>
    </row>
    <row r="64" spans="1:8" x14ac:dyDescent="0.35">
      <c r="A64" t="s">
        <v>132</v>
      </c>
      <c r="B64" t="s">
        <v>57</v>
      </c>
      <c r="C64" t="s">
        <v>46</v>
      </c>
      <c r="D64" t="s">
        <v>82</v>
      </c>
      <c r="E64" s="2">
        <v>42122</v>
      </c>
      <c r="F64" t="s">
        <v>133</v>
      </c>
      <c r="G64">
        <v>64</v>
      </c>
      <c r="H64" t="s">
        <v>12</v>
      </c>
    </row>
    <row r="65" spans="1:8" x14ac:dyDescent="0.35">
      <c r="A65" t="s">
        <v>134</v>
      </c>
      <c r="B65" t="s">
        <v>52</v>
      </c>
      <c r="C65" t="s">
        <v>62</v>
      </c>
      <c r="D65" t="s">
        <v>74</v>
      </c>
      <c r="E65" s="2">
        <v>42838</v>
      </c>
      <c r="F65">
        <v>103891</v>
      </c>
      <c r="G65">
        <v>80</v>
      </c>
      <c r="H65" t="s">
        <v>12</v>
      </c>
    </row>
    <row r="66" spans="1:8" x14ac:dyDescent="0.35">
      <c r="A66" t="s">
        <v>135</v>
      </c>
      <c r="B66" t="s">
        <v>28</v>
      </c>
      <c r="C66" t="s">
        <v>62</v>
      </c>
      <c r="D66" t="s">
        <v>33</v>
      </c>
      <c r="E66" s="2">
        <v>44827</v>
      </c>
      <c r="G66">
        <v>46</v>
      </c>
      <c r="H66" t="s">
        <v>22</v>
      </c>
    </row>
    <row r="67" spans="1:8" x14ac:dyDescent="0.35">
      <c r="A67" t="s">
        <v>136</v>
      </c>
      <c r="B67" t="s">
        <v>28</v>
      </c>
      <c r="C67" t="s">
        <v>58</v>
      </c>
      <c r="D67" t="s">
        <v>59</v>
      </c>
      <c r="E67" s="8">
        <v>42685</v>
      </c>
      <c r="F67" t="s">
        <v>137</v>
      </c>
      <c r="G67">
        <v>99</v>
      </c>
      <c r="H67" t="s">
        <v>12</v>
      </c>
    </row>
    <row r="68" spans="1:8" x14ac:dyDescent="0.35">
      <c r="A68" t="s">
        <v>138</v>
      </c>
      <c r="B68" t="s">
        <v>42</v>
      </c>
      <c r="C68" t="s">
        <v>46</v>
      </c>
      <c r="D68" t="s">
        <v>77</v>
      </c>
      <c r="E68" s="12">
        <v>42818</v>
      </c>
      <c r="F68" t="s">
        <v>139</v>
      </c>
      <c r="H68" t="s">
        <v>50</v>
      </c>
    </row>
    <row r="69" spans="1:8" x14ac:dyDescent="0.35">
      <c r="A69" t="s">
        <v>140</v>
      </c>
      <c r="B69" t="s">
        <v>14</v>
      </c>
      <c r="C69" t="s">
        <v>19</v>
      </c>
      <c r="D69" t="s">
        <v>92</v>
      </c>
      <c r="E69" s="12">
        <v>43590</v>
      </c>
      <c r="F69">
        <v>51567</v>
      </c>
      <c r="G69">
        <v>87</v>
      </c>
      <c r="H69" t="s">
        <v>107</v>
      </c>
    </row>
    <row r="70" spans="1:8" x14ac:dyDescent="0.35">
      <c r="A70" t="s">
        <v>141</v>
      </c>
      <c r="B70" t="s">
        <v>97</v>
      </c>
      <c r="C70" t="s">
        <v>53</v>
      </c>
      <c r="D70" t="s">
        <v>142</v>
      </c>
      <c r="E70" s="2">
        <v>44402</v>
      </c>
      <c r="G70">
        <v>36</v>
      </c>
      <c r="H70" t="s">
        <v>44</v>
      </c>
    </row>
    <row r="71" spans="1:8" x14ac:dyDescent="0.35">
      <c r="A71" t="s">
        <v>143</v>
      </c>
      <c r="B71" t="s">
        <v>57</v>
      </c>
      <c r="C71" t="s">
        <v>46</v>
      </c>
      <c r="D71" t="s">
        <v>92</v>
      </c>
      <c r="E71" s="2">
        <v>43008</v>
      </c>
      <c r="F71">
        <v>55270</v>
      </c>
      <c r="G71">
        <v>87</v>
      </c>
      <c r="H71" t="s">
        <v>50</v>
      </c>
    </row>
    <row r="72" spans="1:8" x14ac:dyDescent="0.35">
      <c r="A72" t="s">
        <v>144</v>
      </c>
      <c r="B72" t="s">
        <v>145</v>
      </c>
      <c r="C72" t="s">
        <v>122</v>
      </c>
      <c r="D72" t="s">
        <v>43</v>
      </c>
      <c r="E72" s="2">
        <v>42192</v>
      </c>
      <c r="F72">
        <v>65235</v>
      </c>
      <c r="G72">
        <v>97</v>
      </c>
      <c r="H72" t="s">
        <v>17</v>
      </c>
    </row>
    <row r="73" spans="1:8" x14ac:dyDescent="0.35">
      <c r="A73" t="s">
        <v>146</v>
      </c>
      <c r="B73" t="s">
        <v>24</v>
      </c>
      <c r="C73" t="s">
        <v>19</v>
      </c>
      <c r="D73" t="s">
        <v>43</v>
      </c>
      <c r="E73" s="2">
        <v>43283</v>
      </c>
      <c r="G73">
        <v>72</v>
      </c>
      <c r="H73" t="s">
        <v>22</v>
      </c>
    </row>
    <row r="74" spans="1:8" x14ac:dyDescent="0.35">
      <c r="A74" t="s">
        <v>147</v>
      </c>
      <c r="B74" t="s">
        <v>64</v>
      </c>
      <c r="C74" t="s">
        <v>19</v>
      </c>
      <c r="D74" t="s">
        <v>47</v>
      </c>
      <c r="E74" s="2">
        <v>44819</v>
      </c>
      <c r="G74">
        <v>65</v>
      </c>
      <c r="H74" t="s">
        <v>22</v>
      </c>
    </row>
    <row r="75" spans="1:8" x14ac:dyDescent="0.35">
      <c r="A75" t="s">
        <v>148</v>
      </c>
      <c r="B75" t="s">
        <v>52</v>
      </c>
      <c r="C75" t="s">
        <v>19</v>
      </c>
      <c r="D75" t="s">
        <v>77</v>
      </c>
      <c r="E75" s="2">
        <v>42249</v>
      </c>
      <c r="G75">
        <v>67</v>
      </c>
      <c r="H75" t="s">
        <v>50</v>
      </c>
    </row>
    <row r="76" spans="1:8" x14ac:dyDescent="0.35">
      <c r="A76" t="s">
        <v>149</v>
      </c>
      <c r="B76" t="s">
        <v>104</v>
      </c>
      <c r="C76" t="s">
        <v>35</v>
      </c>
      <c r="D76" t="s">
        <v>150</v>
      </c>
      <c r="E76" s="12">
        <v>42654</v>
      </c>
      <c r="F76">
        <v>48823</v>
      </c>
      <c r="G76">
        <v>34</v>
      </c>
      <c r="H76" t="s">
        <v>17</v>
      </c>
    </row>
    <row r="77" spans="1:8" x14ac:dyDescent="0.35">
      <c r="A77" t="s">
        <v>151</v>
      </c>
      <c r="B77" t="s">
        <v>52</v>
      </c>
      <c r="C77" t="s">
        <v>19</v>
      </c>
      <c r="D77" t="s">
        <v>74</v>
      </c>
      <c r="E77" s="2">
        <v>43575</v>
      </c>
      <c r="F77">
        <v>45196</v>
      </c>
      <c r="G77">
        <v>78</v>
      </c>
      <c r="H77" t="s">
        <v>22</v>
      </c>
    </row>
    <row r="78" spans="1:8" x14ac:dyDescent="0.35">
      <c r="A78" t="s">
        <v>152</v>
      </c>
      <c r="B78" t="s">
        <v>52</v>
      </c>
      <c r="C78" t="s">
        <v>40</v>
      </c>
      <c r="D78" t="s">
        <v>11</v>
      </c>
      <c r="E78" t="s">
        <v>153</v>
      </c>
      <c r="F78" t="s">
        <v>154</v>
      </c>
      <c r="G78">
        <v>61</v>
      </c>
      <c r="H78" t="s">
        <v>50</v>
      </c>
    </row>
    <row r="79" spans="1:8" x14ac:dyDescent="0.35">
      <c r="A79" t="s">
        <v>155</v>
      </c>
      <c r="B79" t="s">
        <v>9</v>
      </c>
      <c r="C79" t="s">
        <v>46</v>
      </c>
      <c r="D79" t="s">
        <v>43</v>
      </c>
      <c r="E79" s="8">
        <v>44386</v>
      </c>
      <c r="F79">
        <v>70359</v>
      </c>
      <c r="G79">
        <v>74</v>
      </c>
      <c r="H79" t="s">
        <v>30</v>
      </c>
    </row>
    <row r="80" spans="1:8" x14ac:dyDescent="0.35">
      <c r="A80" t="s">
        <v>156</v>
      </c>
      <c r="B80" t="s">
        <v>90</v>
      </c>
      <c r="C80" t="s">
        <v>46</v>
      </c>
      <c r="D80" t="s">
        <v>59</v>
      </c>
      <c r="E80" s="2">
        <v>43599</v>
      </c>
      <c r="G80">
        <v>94</v>
      </c>
      <c r="H80" t="s">
        <v>17</v>
      </c>
    </row>
    <row r="81" spans="1:8" x14ac:dyDescent="0.35">
      <c r="A81" t="s">
        <v>157</v>
      </c>
      <c r="B81" t="s">
        <v>38</v>
      </c>
      <c r="C81" t="s">
        <v>122</v>
      </c>
      <c r="D81" t="s">
        <v>36</v>
      </c>
      <c r="E81" s="2">
        <v>42330</v>
      </c>
      <c r="F81">
        <v>86480</v>
      </c>
      <c r="H81" t="s">
        <v>17</v>
      </c>
    </row>
    <row r="82" spans="1:8" x14ac:dyDescent="0.35">
      <c r="A82" t="s">
        <v>158</v>
      </c>
      <c r="B82" t="s">
        <v>14</v>
      </c>
      <c r="C82" t="s">
        <v>29</v>
      </c>
      <c r="D82" t="s">
        <v>127</v>
      </c>
      <c r="E82" t="s">
        <v>159</v>
      </c>
      <c r="F82" t="s">
        <v>160</v>
      </c>
      <c r="G82">
        <v>75</v>
      </c>
      <c r="H82" t="s">
        <v>17</v>
      </c>
    </row>
    <row r="83" spans="1:8" x14ac:dyDescent="0.35">
      <c r="A83" t="s">
        <v>161</v>
      </c>
      <c r="B83" t="s">
        <v>97</v>
      </c>
      <c r="C83" t="s">
        <v>35</v>
      </c>
      <c r="D83" t="s">
        <v>11</v>
      </c>
      <c r="E83" s="2">
        <v>45171</v>
      </c>
      <c r="F83">
        <v>83724</v>
      </c>
      <c r="G83">
        <v>81</v>
      </c>
      <c r="H83" t="s">
        <v>107</v>
      </c>
    </row>
    <row r="84" spans="1:8" x14ac:dyDescent="0.35">
      <c r="A84" t="s">
        <v>162</v>
      </c>
      <c r="B84" t="s">
        <v>28</v>
      </c>
      <c r="C84" t="s">
        <v>53</v>
      </c>
      <c r="D84" t="s">
        <v>74</v>
      </c>
      <c r="E84" s="2">
        <v>44759</v>
      </c>
      <c r="F84">
        <v>98299</v>
      </c>
      <c r="G84">
        <v>61</v>
      </c>
      <c r="H84" t="s">
        <v>50</v>
      </c>
    </row>
    <row r="85" spans="1:8" x14ac:dyDescent="0.35">
      <c r="A85" t="s">
        <v>163</v>
      </c>
      <c r="B85" t="s">
        <v>104</v>
      </c>
      <c r="C85" t="s">
        <v>53</v>
      </c>
      <c r="D85" t="s">
        <v>26</v>
      </c>
      <c r="E85" s="12">
        <v>44234</v>
      </c>
      <c r="G85">
        <v>68</v>
      </c>
      <c r="H85" t="s">
        <v>50</v>
      </c>
    </row>
    <row r="86" spans="1:8" x14ac:dyDescent="0.35">
      <c r="A86" t="s">
        <v>164</v>
      </c>
      <c r="B86" t="s">
        <v>24</v>
      </c>
      <c r="C86" t="s">
        <v>32</v>
      </c>
      <c r="D86" t="s">
        <v>82</v>
      </c>
      <c r="E86" s="8">
        <v>45026</v>
      </c>
      <c r="F86">
        <v>52287</v>
      </c>
      <c r="G86">
        <v>70</v>
      </c>
      <c r="H86" t="s">
        <v>12</v>
      </c>
    </row>
    <row r="87" spans="1:8" x14ac:dyDescent="0.35">
      <c r="A87" t="s">
        <v>165</v>
      </c>
      <c r="B87" t="s">
        <v>14</v>
      </c>
      <c r="C87" t="s">
        <v>19</v>
      </c>
      <c r="D87" t="s">
        <v>11</v>
      </c>
      <c r="E87" s="2">
        <v>44073</v>
      </c>
      <c r="F87">
        <v>82633</v>
      </c>
      <c r="G87">
        <v>98</v>
      </c>
      <c r="H87" t="s">
        <v>17</v>
      </c>
    </row>
    <row r="88" spans="1:8" x14ac:dyDescent="0.35">
      <c r="A88" t="s">
        <v>166</v>
      </c>
      <c r="B88" t="s">
        <v>97</v>
      </c>
      <c r="C88" t="s">
        <v>124</v>
      </c>
      <c r="D88" t="s">
        <v>36</v>
      </c>
      <c r="E88" s="2">
        <v>44422</v>
      </c>
      <c r="F88">
        <v>46508</v>
      </c>
      <c r="G88">
        <v>34</v>
      </c>
      <c r="H88" t="s">
        <v>44</v>
      </c>
    </row>
    <row r="89" spans="1:8" x14ac:dyDescent="0.35">
      <c r="A89" t="s">
        <v>167</v>
      </c>
      <c r="B89" t="s">
        <v>9</v>
      </c>
      <c r="C89" t="s">
        <v>19</v>
      </c>
      <c r="D89" t="s">
        <v>127</v>
      </c>
      <c r="E89" s="12">
        <v>43796</v>
      </c>
      <c r="F89">
        <v>86232</v>
      </c>
      <c r="G89">
        <v>93</v>
      </c>
      <c r="H89" t="s">
        <v>44</v>
      </c>
    </row>
    <row r="90" spans="1:8" x14ac:dyDescent="0.35">
      <c r="A90" t="s">
        <v>168</v>
      </c>
      <c r="B90" t="s">
        <v>52</v>
      </c>
      <c r="C90" t="s">
        <v>62</v>
      </c>
      <c r="D90" t="s">
        <v>82</v>
      </c>
      <c r="E90" s="12">
        <v>42880</v>
      </c>
      <c r="F90" t="s">
        <v>169</v>
      </c>
      <c r="G90">
        <v>48</v>
      </c>
      <c r="H90" t="s">
        <v>44</v>
      </c>
    </row>
    <row r="91" spans="1:8" x14ac:dyDescent="0.35">
      <c r="A91" t="s">
        <v>170</v>
      </c>
      <c r="B91" t="s">
        <v>145</v>
      </c>
      <c r="C91" t="s">
        <v>19</v>
      </c>
      <c r="D91" t="s">
        <v>36</v>
      </c>
      <c r="E91" s="2">
        <v>43436</v>
      </c>
      <c r="F91">
        <v>68683</v>
      </c>
      <c r="G91">
        <v>90</v>
      </c>
      <c r="H91" t="s">
        <v>50</v>
      </c>
    </row>
    <row r="92" spans="1:8" x14ac:dyDescent="0.35">
      <c r="A92" t="s">
        <v>171</v>
      </c>
      <c r="B92" t="s">
        <v>28</v>
      </c>
      <c r="C92" t="s">
        <v>58</v>
      </c>
      <c r="D92" t="s">
        <v>26</v>
      </c>
      <c r="E92" s="2">
        <v>43639</v>
      </c>
      <c r="F92">
        <v>83932</v>
      </c>
      <c r="G92">
        <v>57</v>
      </c>
      <c r="H92" t="s">
        <v>22</v>
      </c>
    </row>
    <row r="93" spans="1:8" x14ac:dyDescent="0.35">
      <c r="A93" t="s">
        <v>172</v>
      </c>
      <c r="B93" t="s">
        <v>38</v>
      </c>
      <c r="C93" t="s">
        <v>124</v>
      </c>
      <c r="D93" t="s">
        <v>92</v>
      </c>
      <c r="E93" s="2">
        <v>42304</v>
      </c>
      <c r="F93">
        <v>56073</v>
      </c>
      <c r="G93">
        <v>79</v>
      </c>
      <c r="H93" t="s">
        <v>44</v>
      </c>
    </row>
    <row r="94" spans="1:8" x14ac:dyDescent="0.35">
      <c r="A94" t="s">
        <v>173</v>
      </c>
      <c r="B94" t="s">
        <v>97</v>
      </c>
      <c r="C94" t="s">
        <v>32</v>
      </c>
      <c r="D94" t="s">
        <v>20</v>
      </c>
      <c r="E94" s="2">
        <v>43270</v>
      </c>
      <c r="F94" t="s">
        <v>174</v>
      </c>
      <c r="G94">
        <v>66</v>
      </c>
      <c r="H94" t="s">
        <v>50</v>
      </c>
    </row>
    <row r="95" spans="1:8" x14ac:dyDescent="0.35">
      <c r="A95" t="s">
        <v>175</v>
      </c>
      <c r="B95" t="s">
        <v>28</v>
      </c>
      <c r="C95" t="s">
        <v>46</v>
      </c>
      <c r="D95" t="s">
        <v>150</v>
      </c>
      <c r="E95" s="2">
        <v>43112</v>
      </c>
      <c r="F95">
        <v>67414</v>
      </c>
      <c r="G95">
        <v>84</v>
      </c>
      <c r="H95" t="s">
        <v>30</v>
      </c>
    </row>
    <row r="96" spans="1:8" x14ac:dyDescent="0.35">
      <c r="A96" t="s">
        <v>176</v>
      </c>
      <c r="B96" t="s">
        <v>145</v>
      </c>
      <c r="C96" t="s">
        <v>19</v>
      </c>
      <c r="D96" t="s">
        <v>43</v>
      </c>
      <c r="E96" s="2">
        <v>42008</v>
      </c>
      <c r="F96" t="s">
        <v>177</v>
      </c>
      <c r="G96">
        <v>61</v>
      </c>
      <c r="H96" t="s">
        <v>50</v>
      </c>
    </row>
    <row r="97" spans="1:8" x14ac:dyDescent="0.35">
      <c r="A97" t="s">
        <v>178</v>
      </c>
      <c r="C97" t="s">
        <v>29</v>
      </c>
      <c r="D97" t="s">
        <v>43</v>
      </c>
      <c r="E97" s="2">
        <v>43439</v>
      </c>
      <c r="F97">
        <v>80140</v>
      </c>
      <c r="G97">
        <v>58</v>
      </c>
      <c r="H97" t="s">
        <v>44</v>
      </c>
    </row>
    <row r="98" spans="1:8" x14ac:dyDescent="0.35">
      <c r="A98" t="s">
        <v>179</v>
      </c>
      <c r="B98" t="s">
        <v>24</v>
      </c>
      <c r="C98" t="s">
        <v>32</v>
      </c>
      <c r="D98" t="s">
        <v>11</v>
      </c>
      <c r="E98" s="2">
        <v>44482</v>
      </c>
      <c r="F98">
        <v>73087</v>
      </c>
      <c r="G98">
        <v>69</v>
      </c>
      <c r="H98" t="s">
        <v>50</v>
      </c>
    </row>
    <row r="99" spans="1:8" x14ac:dyDescent="0.35">
      <c r="A99" t="s">
        <v>180</v>
      </c>
      <c r="B99" t="s">
        <v>52</v>
      </c>
      <c r="C99" t="s">
        <v>32</v>
      </c>
      <c r="D99" t="s">
        <v>77</v>
      </c>
      <c r="E99" s="2">
        <v>44081</v>
      </c>
      <c r="F99">
        <v>95292</v>
      </c>
      <c r="G99">
        <v>34</v>
      </c>
      <c r="H99" t="s">
        <v>12</v>
      </c>
    </row>
    <row r="100" spans="1:8" x14ac:dyDescent="0.35">
      <c r="A100" t="s">
        <v>181</v>
      </c>
      <c r="B100" t="s">
        <v>24</v>
      </c>
      <c r="C100" t="s">
        <v>58</v>
      </c>
      <c r="D100" t="s">
        <v>20</v>
      </c>
      <c r="E100" s="8">
        <v>43680</v>
      </c>
      <c r="G100">
        <v>33</v>
      </c>
      <c r="H100" t="s">
        <v>12</v>
      </c>
    </row>
    <row r="101" spans="1:8" x14ac:dyDescent="0.35">
      <c r="A101" t="s">
        <v>182</v>
      </c>
      <c r="B101" t="s">
        <v>52</v>
      </c>
      <c r="C101" t="s">
        <v>67</v>
      </c>
      <c r="D101" t="s">
        <v>16</v>
      </c>
      <c r="E101" s="12">
        <v>42074</v>
      </c>
      <c r="F101">
        <v>101750</v>
      </c>
      <c r="G101">
        <v>84</v>
      </c>
      <c r="H101" t="s">
        <v>100</v>
      </c>
    </row>
    <row r="102" spans="1:8" x14ac:dyDescent="0.35">
      <c r="A102" t="s">
        <v>183</v>
      </c>
      <c r="B102" t="s">
        <v>97</v>
      </c>
      <c r="C102" t="s">
        <v>19</v>
      </c>
      <c r="D102" t="s">
        <v>54</v>
      </c>
      <c r="E102" s="12">
        <v>42785</v>
      </c>
      <c r="F102">
        <v>82992</v>
      </c>
      <c r="G102">
        <v>79</v>
      </c>
      <c r="H102" t="s">
        <v>50</v>
      </c>
    </row>
    <row r="103" spans="1:8" x14ac:dyDescent="0.35">
      <c r="A103" t="s">
        <v>184</v>
      </c>
      <c r="B103" t="s">
        <v>145</v>
      </c>
      <c r="C103" t="s">
        <v>62</v>
      </c>
      <c r="D103" t="s">
        <v>11</v>
      </c>
      <c r="E103" s="2">
        <v>45055</v>
      </c>
      <c r="F103" t="s">
        <v>185</v>
      </c>
      <c r="G103">
        <v>51</v>
      </c>
      <c r="H103" t="s">
        <v>12</v>
      </c>
    </row>
    <row r="104" spans="1:8" x14ac:dyDescent="0.35">
      <c r="A104" t="s">
        <v>186</v>
      </c>
      <c r="B104" t="s">
        <v>24</v>
      </c>
      <c r="C104" t="s">
        <v>29</v>
      </c>
      <c r="D104" t="s">
        <v>36</v>
      </c>
      <c r="E104" s="2">
        <v>43122</v>
      </c>
      <c r="F104">
        <v>89060</v>
      </c>
      <c r="G104">
        <v>58</v>
      </c>
      <c r="H104" t="s">
        <v>12</v>
      </c>
    </row>
    <row r="105" spans="1:8" x14ac:dyDescent="0.35">
      <c r="A105" t="s">
        <v>187</v>
      </c>
      <c r="B105" t="s">
        <v>64</v>
      </c>
      <c r="C105" t="s">
        <v>19</v>
      </c>
      <c r="D105" t="s">
        <v>11</v>
      </c>
      <c r="E105" s="2">
        <v>43879</v>
      </c>
      <c r="F105">
        <v>53786</v>
      </c>
      <c r="G105">
        <v>98</v>
      </c>
      <c r="H105" t="s">
        <v>44</v>
      </c>
    </row>
    <row r="106" spans="1:8" x14ac:dyDescent="0.35">
      <c r="A106" t="s">
        <v>188</v>
      </c>
      <c r="B106" t="s">
        <v>9</v>
      </c>
      <c r="C106" t="s">
        <v>32</v>
      </c>
      <c r="D106" t="s">
        <v>33</v>
      </c>
      <c r="E106" t="s">
        <v>189</v>
      </c>
      <c r="F106">
        <v>81167</v>
      </c>
      <c r="H106" t="s">
        <v>44</v>
      </c>
    </row>
    <row r="107" spans="1:8" x14ac:dyDescent="0.35">
      <c r="A107" t="s">
        <v>190</v>
      </c>
      <c r="B107" t="s">
        <v>145</v>
      </c>
      <c r="C107" t="s">
        <v>53</v>
      </c>
      <c r="D107" t="s">
        <v>16</v>
      </c>
      <c r="E107" s="2">
        <v>44349</v>
      </c>
      <c r="F107">
        <v>66688</v>
      </c>
      <c r="G107">
        <v>40</v>
      </c>
      <c r="H107" t="s">
        <v>100</v>
      </c>
    </row>
    <row r="108" spans="1:8" x14ac:dyDescent="0.35">
      <c r="A108" t="s">
        <v>191</v>
      </c>
      <c r="B108" t="s">
        <v>64</v>
      </c>
      <c r="C108" t="s">
        <v>58</v>
      </c>
      <c r="D108" t="s">
        <v>11</v>
      </c>
      <c r="E108" s="2">
        <v>44394</v>
      </c>
      <c r="F108">
        <v>91672</v>
      </c>
      <c r="G108">
        <v>88</v>
      </c>
      <c r="H108" t="s">
        <v>17</v>
      </c>
    </row>
    <row r="109" spans="1:8" x14ac:dyDescent="0.35">
      <c r="A109" t="s">
        <v>192</v>
      </c>
      <c r="B109" t="s">
        <v>38</v>
      </c>
      <c r="C109" t="s">
        <v>19</v>
      </c>
      <c r="D109" t="s">
        <v>142</v>
      </c>
      <c r="E109" s="12">
        <v>42687</v>
      </c>
      <c r="F109" t="s">
        <v>193</v>
      </c>
      <c r="G109">
        <v>77</v>
      </c>
      <c r="H109" t="s">
        <v>12</v>
      </c>
    </row>
    <row r="110" spans="1:8" x14ac:dyDescent="0.35">
      <c r="A110" t="s">
        <v>194</v>
      </c>
      <c r="B110" t="s">
        <v>90</v>
      </c>
      <c r="C110" t="s">
        <v>46</v>
      </c>
      <c r="D110" t="s">
        <v>77</v>
      </c>
      <c r="E110" s="2">
        <v>43513</v>
      </c>
      <c r="F110" t="s">
        <v>195</v>
      </c>
      <c r="G110">
        <v>91</v>
      </c>
      <c r="H110" t="s">
        <v>12</v>
      </c>
    </row>
    <row r="111" spans="1:8" x14ac:dyDescent="0.35">
      <c r="A111" t="s">
        <v>196</v>
      </c>
      <c r="B111" t="s">
        <v>38</v>
      </c>
      <c r="C111" t="s">
        <v>29</v>
      </c>
      <c r="D111" t="s">
        <v>43</v>
      </c>
      <c r="E111" s="2">
        <v>42625</v>
      </c>
      <c r="F111">
        <v>114681</v>
      </c>
      <c r="G111">
        <v>36</v>
      </c>
      <c r="H111" t="s">
        <v>17</v>
      </c>
    </row>
    <row r="112" spans="1:8" x14ac:dyDescent="0.35">
      <c r="A112" t="s">
        <v>197</v>
      </c>
      <c r="B112" t="s">
        <v>28</v>
      </c>
      <c r="C112" t="s">
        <v>58</v>
      </c>
      <c r="D112" t="s">
        <v>36</v>
      </c>
      <c r="E112" s="12">
        <v>44421</v>
      </c>
      <c r="F112" t="s">
        <v>198</v>
      </c>
      <c r="G112">
        <v>72</v>
      </c>
      <c r="H112" t="s">
        <v>44</v>
      </c>
    </row>
    <row r="113" spans="1:8" x14ac:dyDescent="0.35">
      <c r="A113" t="s">
        <v>199</v>
      </c>
      <c r="B113" t="s">
        <v>69</v>
      </c>
      <c r="C113" t="s">
        <v>10</v>
      </c>
      <c r="D113" t="s">
        <v>16</v>
      </c>
      <c r="E113" s="2">
        <v>43996</v>
      </c>
      <c r="F113" t="s">
        <v>200</v>
      </c>
      <c r="G113">
        <v>87</v>
      </c>
      <c r="H113" t="s">
        <v>12</v>
      </c>
    </row>
    <row r="114" spans="1:8" x14ac:dyDescent="0.35">
      <c r="A114" t="s">
        <v>201</v>
      </c>
      <c r="B114" t="s">
        <v>57</v>
      </c>
      <c r="C114" t="s">
        <v>25</v>
      </c>
      <c r="D114" t="s">
        <v>20</v>
      </c>
      <c r="E114" s="12">
        <v>44747</v>
      </c>
      <c r="F114">
        <v>118008</v>
      </c>
      <c r="G114">
        <v>71</v>
      </c>
      <c r="H114" t="s">
        <v>12</v>
      </c>
    </row>
    <row r="115" spans="1:8" x14ac:dyDescent="0.35">
      <c r="A115" t="s">
        <v>202</v>
      </c>
      <c r="B115" t="s">
        <v>28</v>
      </c>
      <c r="C115" t="s">
        <v>46</v>
      </c>
      <c r="D115" t="s">
        <v>11</v>
      </c>
      <c r="E115" s="8">
        <v>42650</v>
      </c>
      <c r="F115">
        <v>74370</v>
      </c>
      <c r="G115">
        <v>82</v>
      </c>
      <c r="H115" t="s">
        <v>50</v>
      </c>
    </row>
    <row r="116" spans="1:8" x14ac:dyDescent="0.35">
      <c r="A116" t="s">
        <v>203</v>
      </c>
      <c r="B116" t="s">
        <v>104</v>
      </c>
      <c r="C116" t="s">
        <v>40</v>
      </c>
      <c r="D116" t="s">
        <v>20</v>
      </c>
      <c r="E116" s="2">
        <v>44674</v>
      </c>
      <c r="F116">
        <v>77819</v>
      </c>
      <c r="G116">
        <v>79</v>
      </c>
      <c r="H116" t="s">
        <v>17</v>
      </c>
    </row>
    <row r="117" spans="1:8" x14ac:dyDescent="0.35">
      <c r="A117" t="s">
        <v>204</v>
      </c>
      <c r="B117" t="s">
        <v>52</v>
      </c>
      <c r="C117" t="s">
        <v>46</v>
      </c>
      <c r="D117" t="s">
        <v>59</v>
      </c>
      <c r="E117" s="8">
        <v>43013</v>
      </c>
      <c r="F117">
        <v>48748</v>
      </c>
      <c r="G117">
        <v>83</v>
      </c>
      <c r="H117" t="s">
        <v>50</v>
      </c>
    </row>
    <row r="118" spans="1:8" x14ac:dyDescent="0.35">
      <c r="A118" t="s">
        <v>205</v>
      </c>
      <c r="B118" t="s">
        <v>64</v>
      </c>
      <c r="C118" t="s">
        <v>40</v>
      </c>
      <c r="D118" t="s">
        <v>33</v>
      </c>
      <c r="E118" s="2">
        <v>43971</v>
      </c>
      <c r="F118">
        <v>101997</v>
      </c>
      <c r="G118">
        <v>38</v>
      </c>
      <c r="H118" t="s">
        <v>107</v>
      </c>
    </row>
    <row r="119" spans="1:8" x14ac:dyDescent="0.35">
      <c r="A119" t="s">
        <v>206</v>
      </c>
      <c r="B119" t="s">
        <v>90</v>
      </c>
      <c r="C119" t="s">
        <v>40</v>
      </c>
      <c r="D119" t="s">
        <v>92</v>
      </c>
      <c r="E119" t="s">
        <v>207</v>
      </c>
      <c r="F119">
        <v>115260</v>
      </c>
      <c r="G119">
        <v>77</v>
      </c>
      <c r="H119" t="s">
        <v>50</v>
      </c>
    </row>
    <row r="120" spans="1:8" x14ac:dyDescent="0.35">
      <c r="A120" t="s">
        <v>208</v>
      </c>
      <c r="B120" t="s">
        <v>90</v>
      </c>
      <c r="C120" t="s">
        <v>35</v>
      </c>
      <c r="D120" t="s">
        <v>43</v>
      </c>
      <c r="E120" s="2">
        <v>44500</v>
      </c>
      <c r="G120">
        <v>49</v>
      </c>
      <c r="H120" t="s">
        <v>12</v>
      </c>
    </row>
    <row r="121" spans="1:8" x14ac:dyDescent="0.35">
      <c r="A121" t="s">
        <v>209</v>
      </c>
      <c r="B121" t="s">
        <v>97</v>
      </c>
      <c r="C121" t="s">
        <v>10</v>
      </c>
      <c r="D121" t="s">
        <v>20</v>
      </c>
      <c r="E121" s="12">
        <v>44493</v>
      </c>
      <c r="G121">
        <v>69</v>
      </c>
      <c r="H121" t="s">
        <v>100</v>
      </c>
    </row>
    <row r="122" spans="1:8" x14ac:dyDescent="0.35">
      <c r="A122" t="s">
        <v>210</v>
      </c>
      <c r="B122" t="s">
        <v>57</v>
      </c>
      <c r="C122" t="s">
        <v>53</v>
      </c>
      <c r="D122" t="s">
        <v>43</v>
      </c>
      <c r="E122" s="2">
        <v>42956</v>
      </c>
      <c r="G122">
        <v>76</v>
      </c>
      <c r="H122" t="s">
        <v>12</v>
      </c>
    </row>
    <row r="123" spans="1:8" x14ac:dyDescent="0.35">
      <c r="A123" t="s">
        <v>211</v>
      </c>
      <c r="B123" t="s">
        <v>97</v>
      </c>
      <c r="C123" t="s">
        <v>40</v>
      </c>
      <c r="D123" t="s">
        <v>150</v>
      </c>
      <c r="E123" s="2">
        <v>44930</v>
      </c>
      <c r="F123">
        <v>60623</v>
      </c>
      <c r="G123">
        <v>78</v>
      </c>
      <c r="H123" t="s">
        <v>44</v>
      </c>
    </row>
    <row r="124" spans="1:8" x14ac:dyDescent="0.35">
      <c r="A124" t="s">
        <v>212</v>
      </c>
      <c r="B124" t="s">
        <v>64</v>
      </c>
      <c r="C124" t="s">
        <v>32</v>
      </c>
      <c r="D124" t="s">
        <v>142</v>
      </c>
      <c r="E124" s="12">
        <v>44053</v>
      </c>
      <c r="F124" t="s">
        <v>213</v>
      </c>
      <c r="G124">
        <v>93</v>
      </c>
      <c r="H124" t="s">
        <v>12</v>
      </c>
    </row>
    <row r="125" spans="1:8" x14ac:dyDescent="0.35">
      <c r="A125" t="s">
        <v>214</v>
      </c>
      <c r="B125" t="s">
        <v>42</v>
      </c>
      <c r="C125" t="s">
        <v>35</v>
      </c>
      <c r="D125" t="s">
        <v>16</v>
      </c>
      <c r="E125" s="2">
        <v>44653</v>
      </c>
      <c r="F125">
        <v>88155</v>
      </c>
      <c r="G125">
        <v>68</v>
      </c>
      <c r="H125" t="s">
        <v>44</v>
      </c>
    </row>
    <row r="126" spans="1:8" x14ac:dyDescent="0.35">
      <c r="A126" t="s">
        <v>215</v>
      </c>
      <c r="B126" t="s">
        <v>145</v>
      </c>
      <c r="C126" t="s">
        <v>58</v>
      </c>
      <c r="D126" t="s">
        <v>16</v>
      </c>
      <c r="E126" s="12">
        <v>43183</v>
      </c>
      <c r="F126">
        <v>107903</v>
      </c>
      <c r="G126">
        <v>42</v>
      </c>
      <c r="H126" t="s">
        <v>17</v>
      </c>
    </row>
    <row r="127" spans="1:8" x14ac:dyDescent="0.35">
      <c r="A127" t="s">
        <v>216</v>
      </c>
      <c r="B127" t="s">
        <v>145</v>
      </c>
      <c r="C127" t="s">
        <v>53</v>
      </c>
      <c r="D127" t="s">
        <v>11</v>
      </c>
      <c r="E127" s="2">
        <v>43305</v>
      </c>
      <c r="F127">
        <v>62818</v>
      </c>
      <c r="G127">
        <v>34</v>
      </c>
      <c r="H127" t="s">
        <v>17</v>
      </c>
    </row>
    <row r="128" spans="1:8" x14ac:dyDescent="0.35">
      <c r="A128" t="s">
        <v>217</v>
      </c>
      <c r="B128" t="s">
        <v>104</v>
      </c>
      <c r="C128" t="s">
        <v>53</v>
      </c>
      <c r="D128" t="s">
        <v>142</v>
      </c>
      <c r="E128" s="2">
        <v>43301</v>
      </c>
      <c r="F128">
        <v>85151</v>
      </c>
      <c r="G128">
        <v>35</v>
      </c>
      <c r="H128" t="s">
        <v>17</v>
      </c>
    </row>
    <row r="129" spans="1:8" x14ac:dyDescent="0.35">
      <c r="A129" t="s">
        <v>218</v>
      </c>
      <c r="B129" t="s">
        <v>52</v>
      </c>
      <c r="C129" t="s">
        <v>62</v>
      </c>
      <c r="D129" t="s">
        <v>74</v>
      </c>
      <c r="E129" s="12">
        <v>42433</v>
      </c>
      <c r="F129">
        <v>46390</v>
      </c>
      <c r="G129">
        <v>95</v>
      </c>
      <c r="H129" t="s">
        <v>50</v>
      </c>
    </row>
    <row r="130" spans="1:8" x14ac:dyDescent="0.35">
      <c r="A130" t="s">
        <v>219</v>
      </c>
      <c r="B130" t="s">
        <v>24</v>
      </c>
      <c r="C130" t="s">
        <v>25</v>
      </c>
      <c r="D130" t="s">
        <v>142</v>
      </c>
      <c r="E130" s="2">
        <v>44643</v>
      </c>
      <c r="F130">
        <v>111920</v>
      </c>
      <c r="G130">
        <v>90</v>
      </c>
      <c r="H130" t="s">
        <v>22</v>
      </c>
    </row>
    <row r="131" spans="1:8" x14ac:dyDescent="0.35">
      <c r="A131" t="s">
        <v>220</v>
      </c>
      <c r="B131" t="s">
        <v>104</v>
      </c>
      <c r="C131" t="s">
        <v>124</v>
      </c>
      <c r="D131" t="s">
        <v>127</v>
      </c>
      <c r="E131" s="12">
        <v>42944</v>
      </c>
      <c r="F131" t="s">
        <v>221</v>
      </c>
      <c r="G131">
        <v>42</v>
      </c>
      <c r="H131" t="s">
        <v>17</v>
      </c>
    </row>
    <row r="132" spans="1:8" x14ac:dyDescent="0.35">
      <c r="A132" t="s">
        <v>222</v>
      </c>
      <c r="B132" t="s">
        <v>90</v>
      </c>
      <c r="C132" t="s">
        <v>29</v>
      </c>
      <c r="D132" t="s">
        <v>43</v>
      </c>
      <c r="E132" s="8">
        <v>45235</v>
      </c>
      <c r="F132" t="s">
        <v>223</v>
      </c>
      <c r="G132">
        <v>88</v>
      </c>
      <c r="H132" t="s">
        <v>107</v>
      </c>
    </row>
    <row r="133" spans="1:8" x14ac:dyDescent="0.35">
      <c r="A133" t="s">
        <v>224</v>
      </c>
      <c r="B133" t="s">
        <v>97</v>
      </c>
      <c r="C133" t="s">
        <v>15</v>
      </c>
      <c r="D133" t="s">
        <v>36</v>
      </c>
      <c r="E133" s="12">
        <v>44639</v>
      </c>
      <c r="F133">
        <v>108395</v>
      </c>
      <c r="G133">
        <v>78</v>
      </c>
      <c r="H133" t="s">
        <v>30</v>
      </c>
    </row>
    <row r="134" spans="1:8" x14ac:dyDescent="0.35">
      <c r="A134" t="s">
        <v>225</v>
      </c>
      <c r="B134" t="s">
        <v>97</v>
      </c>
      <c r="C134" t="s">
        <v>32</v>
      </c>
      <c r="D134" t="s">
        <v>26</v>
      </c>
      <c r="E134" s="2">
        <v>43091</v>
      </c>
      <c r="F134">
        <v>88005</v>
      </c>
      <c r="G134">
        <v>69</v>
      </c>
      <c r="H134" t="s">
        <v>50</v>
      </c>
    </row>
    <row r="135" spans="1:8" x14ac:dyDescent="0.35">
      <c r="A135" t="s">
        <v>226</v>
      </c>
      <c r="B135" t="s">
        <v>52</v>
      </c>
      <c r="C135" t="s">
        <v>122</v>
      </c>
      <c r="D135" t="s">
        <v>59</v>
      </c>
      <c r="E135" t="s">
        <v>227</v>
      </c>
      <c r="F135">
        <v>83007</v>
      </c>
      <c r="G135">
        <v>82</v>
      </c>
      <c r="H135" t="s">
        <v>44</v>
      </c>
    </row>
    <row r="136" spans="1:8" x14ac:dyDescent="0.35">
      <c r="A136" t="s">
        <v>228</v>
      </c>
      <c r="B136" t="s">
        <v>104</v>
      </c>
      <c r="C136" t="s">
        <v>62</v>
      </c>
      <c r="D136" t="s">
        <v>11</v>
      </c>
      <c r="E136" s="2">
        <v>43360</v>
      </c>
      <c r="F136" t="s">
        <v>229</v>
      </c>
      <c r="G136">
        <v>68</v>
      </c>
      <c r="H136" t="s">
        <v>17</v>
      </c>
    </row>
    <row r="137" spans="1:8" x14ac:dyDescent="0.35">
      <c r="A137" t="s">
        <v>230</v>
      </c>
      <c r="B137" t="s">
        <v>64</v>
      </c>
      <c r="C137" t="s">
        <v>35</v>
      </c>
      <c r="D137" t="s">
        <v>47</v>
      </c>
      <c r="E137" s="2">
        <v>44375</v>
      </c>
      <c r="G137">
        <v>52</v>
      </c>
      <c r="H137" t="s">
        <v>44</v>
      </c>
    </row>
    <row r="138" spans="1:8" x14ac:dyDescent="0.35">
      <c r="A138" t="s">
        <v>231</v>
      </c>
      <c r="B138" t="s">
        <v>14</v>
      </c>
      <c r="C138" t="s">
        <v>32</v>
      </c>
      <c r="D138" t="s">
        <v>33</v>
      </c>
      <c r="E138" s="12">
        <v>43011</v>
      </c>
      <c r="F138">
        <v>50399</v>
      </c>
      <c r="G138">
        <v>92</v>
      </c>
      <c r="H138" t="s">
        <v>100</v>
      </c>
    </row>
    <row r="139" spans="1:8" x14ac:dyDescent="0.35">
      <c r="A139" t="s">
        <v>232</v>
      </c>
      <c r="B139" t="s">
        <v>14</v>
      </c>
      <c r="C139" t="s">
        <v>53</v>
      </c>
      <c r="D139" t="s">
        <v>26</v>
      </c>
      <c r="E139" t="s">
        <v>233</v>
      </c>
      <c r="G139">
        <v>62</v>
      </c>
      <c r="H139" t="s">
        <v>17</v>
      </c>
    </row>
    <row r="140" spans="1:8" x14ac:dyDescent="0.35">
      <c r="A140" t="s">
        <v>234</v>
      </c>
      <c r="B140" t="s">
        <v>24</v>
      </c>
      <c r="C140" t="s">
        <v>15</v>
      </c>
      <c r="D140" t="s">
        <v>33</v>
      </c>
      <c r="E140" s="2">
        <v>43257</v>
      </c>
      <c r="F140">
        <v>52720</v>
      </c>
      <c r="G140">
        <v>68</v>
      </c>
      <c r="H140" t="s">
        <v>17</v>
      </c>
    </row>
    <row r="141" spans="1:8" x14ac:dyDescent="0.35">
      <c r="A141" t="s">
        <v>235</v>
      </c>
      <c r="B141" t="s">
        <v>90</v>
      </c>
      <c r="C141" t="s">
        <v>19</v>
      </c>
      <c r="D141" t="s">
        <v>33</v>
      </c>
      <c r="E141" s="2">
        <v>42932</v>
      </c>
      <c r="F141">
        <v>65065</v>
      </c>
      <c r="G141">
        <v>98</v>
      </c>
      <c r="H141" t="s">
        <v>44</v>
      </c>
    </row>
    <row r="142" spans="1:8" x14ac:dyDescent="0.35">
      <c r="A142" t="s">
        <v>236</v>
      </c>
      <c r="B142" t="s">
        <v>97</v>
      </c>
      <c r="C142" t="s">
        <v>15</v>
      </c>
      <c r="D142" t="s">
        <v>43</v>
      </c>
      <c r="E142" s="2">
        <v>42175</v>
      </c>
      <c r="G142">
        <v>94</v>
      </c>
      <c r="H142" t="s">
        <v>107</v>
      </c>
    </row>
    <row r="143" spans="1:8" x14ac:dyDescent="0.35">
      <c r="A143" t="s">
        <v>237</v>
      </c>
      <c r="B143" t="s">
        <v>97</v>
      </c>
      <c r="C143" t="s">
        <v>15</v>
      </c>
      <c r="D143" t="s">
        <v>36</v>
      </c>
      <c r="E143" s="2">
        <v>43609</v>
      </c>
      <c r="F143" t="s">
        <v>238</v>
      </c>
      <c r="G143">
        <v>57</v>
      </c>
      <c r="H143" t="s">
        <v>107</v>
      </c>
    </row>
    <row r="144" spans="1:8" x14ac:dyDescent="0.35">
      <c r="A144" t="s">
        <v>239</v>
      </c>
      <c r="B144" t="s">
        <v>24</v>
      </c>
      <c r="C144" t="s">
        <v>62</v>
      </c>
      <c r="D144" t="s">
        <v>82</v>
      </c>
      <c r="E144" s="2">
        <v>43887</v>
      </c>
      <c r="G144">
        <v>96</v>
      </c>
      <c r="H144" t="s">
        <v>12</v>
      </c>
    </row>
    <row r="145" spans="1:8" x14ac:dyDescent="0.35">
      <c r="A145" t="s">
        <v>240</v>
      </c>
      <c r="B145" t="s">
        <v>14</v>
      </c>
      <c r="C145" t="s">
        <v>62</v>
      </c>
      <c r="D145" t="s">
        <v>92</v>
      </c>
      <c r="E145" s="2">
        <v>44991</v>
      </c>
      <c r="F145">
        <v>106896</v>
      </c>
      <c r="G145">
        <v>52</v>
      </c>
      <c r="H145" t="s">
        <v>22</v>
      </c>
    </row>
    <row r="146" spans="1:8" x14ac:dyDescent="0.35">
      <c r="A146" t="s">
        <v>241</v>
      </c>
      <c r="C146" t="s">
        <v>58</v>
      </c>
      <c r="D146" t="s">
        <v>20</v>
      </c>
      <c r="E146" s="8">
        <v>43800</v>
      </c>
      <c r="F146">
        <v>112887</v>
      </c>
      <c r="G146">
        <v>59</v>
      </c>
      <c r="H146" t="s">
        <v>50</v>
      </c>
    </row>
    <row r="147" spans="1:8" x14ac:dyDescent="0.35">
      <c r="A147" t="s">
        <v>242</v>
      </c>
      <c r="B147" t="s">
        <v>145</v>
      </c>
      <c r="C147" t="s">
        <v>40</v>
      </c>
      <c r="D147" t="s">
        <v>26</v>
      </c>
      <c r="E147" s="2">
        <v>45037</v>
      </c>
      <c r="F147">
        <v>85457</v>
      </c>
      <c r="G147">
        <v>79</v>
      </c>
      <c r="H147" t="s">
        <v>17</v>
      </c>
    </row>
    <row r="148" spans="1:8" x14ac:dyDescent="0.35">
      <c r="A148" t="s">
        <v>243</v>
      </c>
      <c r="B148" t="s">
        <v>97</v>
      </c>
      <c r="C148" t="s">
        <v>46</v>
      </c>
      <c r="D148" t="s">
        <v>47</v>
      </c>
      <c r="E148" s="2">
        <v>42519</v>
      </c>
      <c r="F148">
        <v>62798</v>
      </c>
      <c r="G148">
        <v>30</v>
      </c>
      <c r="H148" t="s">
        <v>17</v>
      </c>
    </row>
    <row r="149" spans="1:8" x14ac:dyDescent="0.35">
      <c r="A149" t="s">
        <v>244</v>
      </c>
      <c r="B149" t="s">
        <v>9</v>
      </c>
      <c r="C149" t="s">
        <v>25</v>
      </c>
      <c r="D149" t="s">
        <v>33</v>
      </c>
      <c r="E149" s="2">
        <v>44711</v>
      </c>
      <c r="F149">
        <v>47794</v>
      </c>
      <c r="G149">
        <v>73</v>
      </c>
      <c r="H149" t="s">
        <v>22</v>
      </c>
    </row>
    <row r="150" spans="1:8" x14ac:dyDescent="0.35">
      <c r="A150" t="s">
        <v>245</v>
      </c>
      <c r="B150" t="s">
        <v>64</v>
      </c>
      <c r="C150" t="s">
        <v>40</v>
      </c>
      <c r="D150" t="s">
        <v>16</v>
      </c>
      <c r="E150" s="12">
        <v>42677</v>
      </c>
      <c r="F150">
        <v>93094</v>
      </c>
      <c r="G150">
        <v>74</v>
      </c>
      <c r="H150" t="s">
        <v>12</v>
      </c>
    </row>
    <row r="151" spans="1:8" x14ac:dyDescent="0.35">
      <c r="A151" t="s">
        <v>246</v>
      </c>
      <c r="B151" t="s">
        <v>69</v>
      </c>
      <c r="C151" t="s">
        <v>10</v>
      </c>
      <c r="D151" t="s">
        <v>11</v>
      </c>
      <c r="E151" s="2">
        <v>44848</v>
      </c>
      <c r="F151" t="s">
        <v>247</v>
      </c>
      <c r="G151">
        <v>91</v>
      </c>
      <c r="H151" t="s">
        <v>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activeCell="C2" sqref="C2"/>
    </sheetView>
  </sheetViews>
  <sheetFormatPr defaultRowHeight="14.5" x14ac:dyDescent="0.35"/>
  <cols>
    <col min="1" max="1" width="10.1796875" bestFit="1" customWidth="1"/>
    <col min="2" max="2" width="20.90625" bestFit="1" customWidth="1"/>
  </cols>
  <sheetData>
    <row r="1" spans="1:2" x14ac:dyDescent="0.35">
      <c r="A1" s="1" t="s">
        <v>248</v>
      </c>
      <c r="B1" s="1" t="s">
        <v>249</v>
      </c>
    </row>
    <row r="2" spans="1:2" x14ac:dyDescent="0.35">
      <c r="A2" t="s">
        <v>92</v>
      </c>
      <c r="B2" t="s">
        <v>250</v>
      </c>
    </row>
    <row r="3" spans="1:2" x14ac:dyDescent="0.35">
      <c r="A3" t="s">
        <v>11</v>
      </c>
      <c r="B3" t="s">
        <v>251</v>
      </c>
    </row>
    <row r="4" spans="1:2" x14ac:dyDescent="0.35">
      <c r="A4" t="s">
        <v>26</v>
      </c>
      <c r="B4" t="s">
        <v>252</v>
      </c>
    </row>
    <row r="5" spans="1:2" x14ac:dyDescent="0.35">
      <c r="A5" t="s">
        <v>16</v>
      </c>
      <c r="B5" t="s">
        <v>253</v>
      </c>
    </row>
    <row r="6" spans="1:2" x14ac:dyDescent="0.35">
      <c r="A6" t="s">
        <v>43</v>
      </c>
      <c r="B6" t="s">
        <v>254</v>
      </c>
    </row>
    <row r="7" spans="1:2" x14ac:dyDescent="0.35">
      <c r="A7" t="s">
        <v>33</v>
      </c>
      <c r="B7" t="s">
        <v>255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workbookViewId="0">
      <selection activeCell="E2" sqref="E2"/>
    </sheetView>
  </sheetViews>
  <sheetFormatPr defaultRowHeight="14.5" x14ac:dyDescent="0.35"/>
  <cols>
    <col min="1" max="1" width="9.6328125" bestFit="1" customWidth="1"/>
    <col min="2" max="2" width="10" bestFit="1" customWidth="1"/>
    <col min="3" max="3" width="18" bestFit="1" customWidth="1"/>
    <col min="4" max="4" width="16.453125" bestFit="1" customWidth="1"/>
  </cols>
  <sheetData>
    <row r="1" spans="1:4" x14ac:dyDescent="0.35">
      <c r="A1" s="1" t="s">
        <v>256</v>
      </c>
      <c r="B1" s="1" t="s">
        <v>257</v>
      </c>
      <c r="C1" s="1" t="s">
        <v>258</v>
      </c>
      <c r="D1" s="1" t="s">
        <v>259</v>
      </c>
    </row>
    <row r="2" spans="1:4" x14ac:dyDescent="0.35">
      <c r="A2">
        <v>0</v>
      </c>
      <c r="B2">
        <v>49</v>
      </c>
      <c r="C2" t="s">
        <v>260</v>
      </c>
      <c r="D2">
        <v>0</v>
      </c>
    </row>
    <row r="3" spans="1:4" x14ac:dyDescent="0.35">
      <c r="A3">
        <v>50</v>
      </c>
      <c r="B3">
        <v>69</v>
      </c>
      <c r="C3" t="s">
        <v>261</v>
      </c>
      <c r="D3">
        <v>0.02</v>
      </c>
    </row>
    <row r="4" spans="1:4" x14ac:dyDescent="0.35">
      <c r="A4">
        <v>70</v>
      </c>
      <c r="B4">
        <v>84</v>
      </c>
      <c r="C4" t="s">
        <v>262</v>
      </c>
      <c r="D4">
        <v>0.05</v>
      </c>
    </row>
    <row r="5" spans="1:4" x14ac:dyDescent="0.35">
      <c r="A5">
        <v>85</v>
      </c>
      <c r="B5">
        <v>94</v>
      </c>
      <c r="C5" t="s">
        <v>263</v>
      </c>
      <c r="D5">
        <v>0.08</v>
      </c>
    </row>
    <row r="6" spans="1:4" x14ac:dyDescent="0.35">
      <c r="A6">
        <v>95</v>
      </c>
      <c r="B6">
        <v>100</v>
      </c>
      <c r="C6" t="s">
        <v>264</v>
      </c>
      <c r="D6">
        <v>0.12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Sheet2</vt:lpstr>
      <vt:lpstr>Working_Data</vt:lpstr>
      <vt:lpstr>Raw_Employee_Data</vt:lpstr>
      <vt:lpstr>Lookup_Departments</vt:lpstr>
      <vt:lpstr>Lookup_Performance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Adamu Jauro Abubakar</cp:lastModifiedBy>
  <dcterms:created xsi:type="dcterms:W3CDTF">2026-06-04T20:20:01Z</dcterms:created>
  <dcterms:modified xsi:type="dcterms:W3CDTF">2026-07-10T17:13:10Z</dcterms:modified>
</cp:coreProperties>
</file>